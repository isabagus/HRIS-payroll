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ky\Documents\"/>
    </mc:Choice>
  </mc:AlternateContent>
  <xr:revisionPtr revIDLastSave="0" documentId="8_{549ADD4C-38FB-4726-9F60-47B442F7B07F}" xr6:coauthVersionLast="47" xr6:coauthVersionMax="47" xr10:uidLastSave="{00000000-0000-0000-0000-000000000000}"/>
  <bookViews>
    <workbookView xWindow="-120" yWindow="-120" windowWidth="21840" windowHeight="13020" xr2:uid="{938A516F-476A-4878-9BF9-84F62770DD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Q10" i="1" s="1"/>
  <c r="P11" i="1"/>
  <c r="P12" i="1"/>
  <c r="P13" i="1"/>
  <c r="P14" i="1"/>
  <c r="P15" i="1"/>
  <c r="P16" i="1"/>
  <c r="P17" i="1"/>
  <c r="P18" i="1"/>
  <c r="Q18" i="1" s="1"/>
  <c r="P19" i="1"/>
  <c r="P20" i="1"/>
  <c r="P21" i="1"/>
  <c r="P22" i="1"/>
  <c r="P23" i="1"/>
  <c r="P24" i="1"/>
  <c r="P25" i="1"/>
  <c r="P26" i="1"/>
  <c r="Q26" i="1" s="1"/>
  <c r="P27" i="1"/>
  <c r="P28" i="1"/>
  <c r="P29" i="1"/>
  <c r="P30" i="1"/>
  <c r="P31" i="1"/>
  <c r="P32" i="1"/>
  <c r="P33" i="1"/>
  <c r="P34" i="1"/>
  <c r="Q34" i="1" s="1"/>
  <c r="P35" i="1"/>
  <c r="P36" i="1"/>
  <c r="P37" i="1"/>
  <c r="P38" i="1"/>
  <c r="P39" i="1"/>
  <c r="P40" i="1"/>
  <c r="P41" i="1"/>
  <c r="P42" i="1"/>
  <c r="Q42" i="1" s="1"/>
  <c r="P43" i="1"/>
  <c r="P44" i="1"/>
  <c r="P45" i="1"/>
  <c r="P46" i="1"/>
  <c r="H58" i="1"/>
  <c r="H57" i="1"/>
  <c r="H56" i="1"/>
  <c r="H55" i="1"/>
  <c r="H54" i="1"/>
  <c r="H53" i="1"/>
  <c r="H52" i="1"/>
  <c r="H51" i="1"/>
  <c r="H50" i="1"/>
  <c r="H49" i="1"/>
  <c r="H48" i="1"/>
  <c r="H47" i="1"/>
  <c r="Q46" i="1"/>
  <c r="H46" i="1"/>
  <c r="Q45" i="1"/>
  <c r="H45" i="1"/>
  <c r="Q44" i="1"/>
  <c r="H44" i="1"/>
  <c r="Q43" i="1"/>
  <c r="H43" i="1"/>
  <c r="H42" i="1"/>
  <c r="Q41" i="1"/>
  <c r="H41" i="1"/>
  <c r="Q40" i="1"/>
  <c r="H40" i="1"/>
  <c r="Q39" i="1"/>
  <c r="H39" i="1"/>
  <c r="Q38" i="1"/>
  <c r="H38" i="1"/>
  <c r="Q37" i="1"/>
  <c r="H37" i="1"/>
  <c r="Q36" i="1"/>
  <c r="H36" i="1"/>
  <c r="Q35" i="1"/>
  <c r="H35" i="1"/>
  <c r="H34" i="1"/>
  <c r="Q33" i="1"/>
  <c r="H33" i="1"/>
  <c r="Q32" i="1"/>
  <c r="H32" i="1"/>
  <c r="Q31" i="1"/>
  <c r="H31" i="1"/>
  <c r="Q30" i="1"/>
  <c r="H30" i="1"/>
  <c r="Q29" i="1"/>
  <c r="H29" i="1"/>
  <c r="Q28" i="1"/>
  <c r="H28" i="1"/>
  <c r="Q27" i="1"/>
  <c r="H27" i="1"/>
  <c r="H26" i="1"/>
  <c r="Q25" i="1"/>
  <c r="H25" i="1"/>
  <c r="Q24" i="1"/>
  <c r="H24" i="1"/>
  <c r="Q23" i="1"/>
  <c r="H23" i="1"/>
  <c r="Q22" i="1"/>
  <c r="H22" i="1"/>
  <c r="Q21" i="1"/>
  <c r="H21" i="1"/>
  <c r="Q20" i="1"/>
  <c r="H20" i="1"/>
  <c r="Q19" i="1"/>
  <c r="H19" i="1"/>
  <c r="H18" i="1"/>
  <c r="Q17" i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H10" i="1"/>
  <c r="Q9" i="1"/>
  <c r="H9" i="1"/>
  <c r="Q8" i="1"/>
  <c r="H8" i="1"/>
  <c r="Q7" i="1"/>
  <c r="H7" i="1"/>
  <c r="Q6" i="1"/>
  <c r="H6" i="1"/>
  <c r="Q5" i="1"/>
  <c r="H5" i="1"/>
  <c r="Q4" i="1"/>
  <c r="H4" i="1"/>
  <c r="Q3" i="1"/>
  <c r="H3" i="1"/>
</calcChain>
</file>

<file path=xl/sharedStrings.xml><?xml version="1.0" encoding="utf-8"?>
<sst xmlns="http://schemas.openxmlformats.org/spreadsheetml/2006/main" count="440" uniqueCount="218">
  <si>
    <t>NAMA</t>
  </si>
  <si>
    <t>EMAIL</t>
  </si>
  <si>
    <t>DEVISI</t>
  </si>
  <si>
    <t>NIK</t>
  </si>
  <si>
    <t>Tempat Lahir</t>
  </si>
  <si>
    <t>TTL</t>
  </si>
  <si>
    <t>UMUR (th)</t>
  </si>
  <si>
    <t>JENIS KELAMIN</t>
  </si>
  <si>
    <t>ALAMAT</t>
  </si>
  <si>
    <t>PENDIDIKAN TERAKHIR</t>
  </si>
  <si>
    <t>PRODI</t>
  </si>
  <si>
    <t>TAHUN LULUS</t>
  </si>
  <si>
    <t>PERUSAHAAN</t>
  </si>
  <si>
    <t>AWAL MASUK</t>
  </si>
  <si>
    <t>BULAN</t>
  </si>
  <si>
    <t>TAHUN</t>
  </si>
  <si>
    <t>TANGGAL GAJIAN</t>
  </si>
  <si>
    <t>ADITYA</t>
  </si>
  <si>
    <t>Styadt92@gmail.com</t>
  </si>
  <si>
    <t>PRODUKSI</t>
  </si>
  <si>
    <t>3372042503030002</t>
  </si>
  <si>
    <t>Surakarta</t>
  </si>
  <si>
    <t>LAKI-LAKI</t>
  </si>
  <si>
    <t>Ngoresan Rt. 002/Rw. 017, Jebres, Jebres, Surakarta, Jawa Tengah 57126</t>
  </si>
  <si>
    <t>SD</t>
  </si>
  <si>
    <t>packsolution.id</t>
  </si>
  <si>
    <t>ADITYA BAGOES PUTRO SETIAWAN</t>
  </si>
  <si>
    <t>adityabagoes13@gmail.com</t>
  </si>
  <si>
    <t>3372040212010004</t>
  </si>
  <si>
    <t>Joyoraharjan Rt. 001/Rw. 010, Purwodiningratan, Jebres, Surakarta, Jawa Tengah 57128</t>
  </si>
  <si>
    <t>SMK</t>
  </si>
  <si>
    <t>perhotelan</t>
  </si>
  <si>
    <t>AFARIL NUR AINI</t>
  </si>
  <si>
    <t>fvstr2505@gmail.com</t>
  </si>
  <si>
    <t>3372034504050004</t>
  </si>
  <si>
    <t>PEREMPUAN</t>
  </si>
  <si>
    <t xml:space="preserve">Mojo Rt. 009/Rw. 002, Mojo, Pasar Kliwon, Surakarta, Jawa Tengah </t>
  </si>
  <si>
    <t>SMA</t>
  </si>
  <si>
    <t>AGUSTINA SETYOWATI</t>
  </si>
  <si>
    <t>STAFF</t>
  </si>
  <si>
    <t>3313125801000001</t>
  </si>
  <si>
    <t>Karanganyar</t>
  </si>
  <si>
    <t>Klodran Rt. 002/Rw. 004, Klodran, Colomadu, Karanganyar, Jawa Tengah 57172</t>
  </si>
  <si>
    <t>teknik komputer dan jaringan</t>
  </si>
  <si>
    <t>ALDENTHIO DAIZ KOMARA</t>
  </si>
  <si>
    <t>aldentyo06@gmail.com</t>
  </si>
  <si>
    <t>3312080603000002</t>
  </si>
  <si>
    <t>Wonogiri</t>
  </si>
  <si>
    <t>Mantenan Rt. 003/Rw. 013, Ngadirejo, Eromoko, Wonogiri, Jawa Tengah 57667</t>
  </si>
  <si>
    <t>AMELIA FRANSISKA MURTI</t>
  </si>
  <si>
    <t>3311046712020002</t>
  </si>
  <si>
    <t>Sukoharjo</t>
  </si>
  <si>
    <t>Sidorejo Rt. 001/Rw. 004, Combongan, Sukoharjo, Sukoharjo, Jawa Tengah 57519</t>
  </si>
  <si>
    <t>ARIE SUGIYARTI</t>
  </si>
  <si>
    <t>3372015401950001</t>
  </si>
  <si>
    <t>Baron gede Rt. 002/Rw. 002, Panularan, Laweyan, Surakarta, Jawa Tengah 57149</t>
  </si>
  <si>
    <t>administrasi</t>
  </si>
  <si>
    <t>ARTAS PUJIYANTO</t>
  </si>
  <si>
    <t>3309092410969002</t>
  </si>
  <si>
    <t>Boyolali</t>
  </si>
  <si>
    <t>Sidowayah Rt. 012/Rw. 004, Trayu, Banyudono, Boyolali, Jawa Tengah 57373</t>
  </si>
  <si>
    <t>teknik mesin</t>
  </si>
  <si>
    <t>ATIKA MIRNA NUGRAHENI</t>
  </si>
  <si>
    <t>atikamirna17@gmail.com</t>
  </si>
  <si>
    <t>3372016105030002</t>
  </si>
  <si>
    <t>Purwosari Rt. 002/Rw. 011, Purwosari, Laweyan, Surakarta, Jawa Tengah 57142</t>
  </si>
  <si>
    <t>AYUDYA SYALOOM SERAFINA</t>
  </si>
  <si>
    <t>3309087001029001</t>
  </si>
  <si>
    <t>Rejosari Rt. 002/Rw. 001, Bendosari, Sawit, Boyolali, Jawa Tengah 57374</t>
  </si>
  <si>
    <t>matematika dan IPA</t>
  </si>
  <si>
    <t>BAGUS RESTU HARTONO</t>
  </si>
  <si>
    <t>3311092304020002</t>
  </si>
  <si>
    <t>Gambiran Rt. 002/Rw. 001, Cemani, Grogol, Sukoharjo, Jawa Tengah 57191</t>
  </si>
  <si>
    <t>teknik otomotif</t>
  </si>
  <si>
    <t>BAYU IRAWAN</t>
  </si>
  <si>
    <t>ibayu1999@gmail.com</t>
  </si>
  <si>
    <t>3372041905990002</t>
  </si>
  <si>
    <t>Pucangsawit Rt. 001/Rw. 015, Pucangsawit, Jebres, Surakarta, Jawa Tengah 57125</t>
  </si>
  <si>
    <t>teknik elektronika</t>
  </si>
  <si>
    <t>CHIQUITA PUTRI KINANTI DWICHANDRINI</t>
  </si>
  <si>
    <t>chiquitaputrikinanti@gmail.com</t>
  </si>
  <si>
    <t>5305016007030001</t>
  </si>
  <si>
    <t>Kalabahi</t>
  </si>
  <si>
    <t>Gondang Wetan Rt. 004/Rw. 001. Manahan, Banjarsari, Surakarta, Jawa Tengah 57139</t>
  </si>
  <si>
    <t>CHOIRUNNISA ROMADHONI</t>
  </si>
  <si>
    <t>nisachoirun818@gmail.com</t>
  </si>
  <si>
    <t>3311096212990007</t>
  </si>
  <si>
    <t>tata boga</t>
  </si>
  <si>
    <t>Estella Digi</t>
  </si>
  <si>
    <t>DAMAR CHRISTIYANTO</t>
  </si>
  <si>
    <t>3372051101880001</t>
  </si>
  <si>
    <t>Sriten Rt. 029/Rw. 008, Karangwuni, Rongkop, Gunungkidul, DIY</t>
  </si>
  <si>
    <t>IPS</t>
  </si>
  <si>
    <t>DEWANGGA BAGUS PRAYUDA</t>
  </si>
  <si>
    <t>3314041708980006</t>
  </si>
  <si>
    <t>Sragen</t>
  </si>
  <si>
    <t>Bulak Indah Rt. 001/Rw. 007, Karangasem. Laweyan, Surakarta, Jawa Tengah 57145</t>
  </si>
  <si>
    <t>DHEAVITA TIARA ARYZANDY</t>
  </si>
  <si>
    <t>dheavitatiaraa@gmail.com</t>
  </si>
  <si>
    <t>3501026311010003</t>
  </si>
  <si>
    <t>Pacitan</t>
  </si>
  <si>
    <t>Dondong Rt. 002/Rw. 006, Dersono, Pringkuku, Pacitan, Jawa Timur 63552</t>
  </si>
  <si>
    <t>administrasi perkantoran</t>
  </si>
  <si>
    <t>DIMAS AJI FATHUR ROHMAN</t>
  </si>
  <si>
    <t>ajidimas1@gmail.com</t>
  </si>
  <si>
    <t>3314151412050003</t>
  </si>
  <si>
    <t>Kowang Rt. 006/ Rw.000, Ngargotirto, Sumberlawang, Sragen, Jawa Tengah 57272</t>
  </si>
  <si>
    <t>multimedia</t>
  </si>
  <si>
    <t>DWI WULANDARI</t>
  </si>
  <si>
    <t>3372014109870002</t>
  </si>
  <si>
    <t>Belukan Rt. 001/Rw. 004, Pajang, Laweyan, Surakarta, Jawa Tengah 57146</t>
  </si>
  <si>
    <t>bisnis dan manajemen</t>
  </si>
  <si>
    <t>FADHIL JA'FAR TSANY</t>
  </si>
  <si>
    <t>fadhiltsany25@gmail.com</t>
  </si>
  <si>
    <t>3372012503040007</t>
  </si>
  <si>
    <t>Jajar Rt. 004/Rw. 003, Jajar, Laweyan, Surakarta, Jawa Tengah 57144</t>
  </si>
  <si>
    <t>teknik komputer dan informatika</t>
  </si>
  <si>
    <t>FAUZA AZKA HAFIYYAN</t>
  </si>
  <si>
    <t>azkahafiyyan02@gmail.com</t>
  </si>
  <si>
    <t>3372050203060003</t>
  </si>
  <si>
    <t>Sumber Rt. 001/Rw. 014, Sumber, Banjarsari, Surakarta, Jawa Tengah 57138</t>
  </si>
  <si>
    <t>desain komunikasi visual</t>
  </si>
  <si>
    <t>FIONI KARUNIA SAKTI</t>
  </si>
  <si>
    <t>fionikarunia83@gmail.com</t>
  </si>
  <si>
    <t>3323115807940002</t>
  </si>
  <si>
    <t>Temanggung</t>
  </si>
  <si>
    <t xml:space="preserve">Wonotoro Rt. 003/Rw. 009, Pucung, Girisubo, Gunungkidul, DIY </t>
  </si>
  <si>
    <t>D3</t>
  </si>
  <si>
    <t>manajemen administrasi rumah sakit</t>
  </si>
  <si>
    <t>GILANG SEVT AFGANIST</t>
  </si>
  <si>
    <t>3311122209010007</t>
  </si>
  <si>
    <t>Batam</t>
  </si>
  <si>
    <t>Windan Rt. 002/Rw. 006, Gumpang, Kartasura, Sukoharjo, Jawa Tengah 57169</t>
  </si>
  <si>
    <t>teknik permesinan</t>
  </si>
  <si>
    <t>HERLIANA HAPSARI</t>
  </si>
  <si>
    <t>hapsari.herliana@gmail.com</t>
  </si>
  <si>
    <t>3311125108010003</t>
  </si>
  <si>
    <t>teknik grafika</t>
  </si>
  <si>
    <t>HERLITA FEBRIANINGSIH</t>
  </si>
  <si>
    <t>3312026805000001</t>
  </si>
  <si>
    <t>Goboh Rt. 002/Rw. 006, Giritontro, Giritontro, Wonogiri, Jawa Tenah 57678</t>
  </si>
  <si>
    <t>tata niaga</t>
  </si>
  <si>
    <t>JOKO AJI PRANOTO</t>
  </si>
  <si>
    <t>3309171606920003</t>
  </si>
  <si>
    <t>Tegalrejo Rt. 002/Rw. 002, Sondakan, Laweyan, Surakarta, Jawa Tengah 57147</t>
  </si>
  <si>
    <t>JUFITA CINTIA ANGELENA</t>
  </si>
  <si>
    <t>3372026206070002</t>
  </si>
  <si>
    <t>Joyotakan Rt. 002/Rw. 001, Joyotakan, Serengan, Surakarta, Jawa Tengah 57157</t>
  </si>
  <si>
    <t>MAULANA FADILAH SA'ID</t>
  </si>
  <si>
    <t>3311122012030002</t>
  </si>
  <si>
    <t>Demangan Rt. 002/Rw. 019, Makamhaji, Kartasura, Jawa Tengah 57161</t>
  </si>
  <si>
    <t>NAUFAL BIMO SAPUTRO</t>
  </si>
  <si>
    <t>3372010603040001</t>
  </si>
  <si>
    <t>Mutihan Rt. 003/Rw. 012, Sondakan, Laweyan, Surakarta, Jawa Tengah 57147</t>
  </si>
  <si>
    <t>seni musik</t>
  </si>
  <si>
    <t>NAVILA SALAMAH</t>
  </si>
  <si>
    <t>3372035710030002</t>
  </si>
  <si>
    <t>bisnis dan pemasaran</t>
  </si>
  <si>
    <t>NUR SYIFA NOVIYANTI</t>
  </si>
  <si>
    <t>3215255711050003</t>
  </si>
  <si>
    <t>Karawang</t>
  </si>
  <si>
    <t>Perum Griya Permai B13/24 Rt. 003/Rw. 004, Pucung, Kota Baru, Karawang, Jawa Barat 41374</t>
  </si>
  <si>
    <t>ONCE PRASETYA NINGRUM</t>
  </si>
  <si>
    <t>onceprasetyaningrum15@gmail.com</t>
  </si>
  <si>
    <t>3372025509010002</t>
  </si>
  <si>
    <t>Semprongan Rt. 004/Rw. 007, Tipes, Serengan, Surakarta, Jawa Tengah 57154</t>
  </si>
  <si>
    <t>SMP</t>
  </si>
  <si>
    <t>PRISCA ADHELIA</t>
  </si>
  <si>
    <t>3311126710040001</t>
  </si>
  <si>
    <t>Sanggrahan Rt. 003/Rw. 020, Makamhaji, Kartasura, Sukoharjo, Jawa Tengah 57161</t>
  </si>
  <si>
    <t>perhotelan dan pariwisata</t>
  </si>
  <si>
    <t>RIJAL AZIZ</t>
  </si>
  <si>
    <t>3313082409000001</t>
  </si>
  <si>
    <t>Jangganan Rt. 003/Rw. 002, Bangsri, Karangpandan, Karanganyar, Jawa Tengah 57791</t>
  </si>
  <si>
    <t>RIRIN PURNAWATI</t>
  </si>
  <si>
    <t>ririnpurnawati46@gmail.com</t>
  </si>
  <si>
    <t>3313126802910002</t>
  </si>
  <si>
    <t>Puspan Rt. 003/Rw. 007, Blulukan, Colomadu, Karanganyar, Jawa Tengah 57174</t>
  </si>
  <si>
    <t>RIZKI KURNIAWAN</t>
  </si>
  <si>
    <t>kurniawan.solo88@gmail.com</t>
  </si>
  <si>
    <t>3372031509020002</t>
  </si>
  <si>
    <t>Sawahan Sangkrah Rt. 004/Rw. 010, Sangkrah, Pasar Kliwon, Surakarta, Jawa Tengah 57119</t>
  </si>
  <si>
    <t>RIZKY KURNIAWAN</t>
  </si>
  <si>
    <t>rizkyku29@gmail.com</t>
  </si>
  <si>
    <t>3311122911040001</t>
  </si>
  <si>
    <t>Windan Rt. 001/Rw. 009, Makamhaji, Kartasura, Sukoharjo, Jawa Tengah 57161</t>
  </si>
  <si>
    <t>SANIA FARIDATUS SHOLIKHAH</t>
  </si>
  <si>
    <t>3372015304040003</t>
  </si>
  <si>
    <t>SUPARMI</t>
  </si>
  <si>
    <t>3309117107939002</t>
  </si>
  <si>
    <t>Gonilan Rt. 002/Rw. 004, Gonilan, Kartasura, Sukoharjo, Jawa Tengah 57162</t>
  </si>
  <si>
    <t>WIDAR FERNANDO</t>
  </si>
  <si>
    <t>wdrfrnnd001@gmail.com</t>
  </si>
  <si>
    <t>3310152708030005</t>
  </si>
  <si>
    <t>Klaten</t>
  </si>
  <si>
    <t>Lumbungkerep Rt. 001/Rw. 003, Lumbungkerep, Wonosari, Klaten, Jawa Tengah 57473</t>
  </si>
  <si>
    <t>YULIANA NUR CHOIRIYAH</t>
  </si>
  <si>
    <t>3372016407980003</t>
  </si>
  <si>
    <t>Jl Gongdosuli Rt. 003/Rw. 003, Pajang, Laweyan, Surakarta, Jawa Tengah 57146</t>
  </si>
  <si>
    <t>YUSTRI HARTAJI NADARIAWAN</t>
  </si>
  <si>
    <t>3311093103930003</t>
  </si>
  <si>
    <t>Talang Abang Rt. 004/Rw. 011, Sanggrahan, Grogol, Sukoharjo, Jawa Tengah 57552</t>
  </si>
  <si>
    <t xml:space="preserve">ilmu komunikasi </t>
  </si>
  <si>
    <t>STEVANUS FAU</t>
  </si>
  <si>
    <t>3313110606980002</t>
  </si>
  <si>
    <t>Nias Selatan</t>
  </si>
  <si>
    <t>Jl. Swolobumi Rt. 007/ Rw. 003, Demangan, Kec. Taman, Kab. Madiun, Prov. Jawa Timur</t>
  </si>
  <si>
    <t>BIMA TWIN WIDI ATMAJA</t>
  </si>
  <si>
    <t>Blitar</t>
  </si>
  <si>
    <t>JL. Ir. Sutami 53 Jebres, Kec. Jebres, Kota Surakarta, Jawa tengah 57126</t>
  </si>
  <si>
    <t>D1</t>
  </si>
  <si>
    <t>DKV</t>
  </si>
  <si>
    <t>FAYZA KAMILIA HAFSAH</t>
  </si>
  <si>
    <t>fayzakamilia15@gmail.com</t>
  </si>
  <si>
    <t>3311125502060001</t>
  </si>
  <si>
    <t>Windan Rt. 003/Rw.007, Gumpang, Kartasura, Sukoharjo, Jawa Tengah</t>
  </si>
  <si>
    <t>-</t>
  </si>
  <si>
    <t xml:space="preserve">   ID Karyawan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</si>
</sst>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;@"/>
  </numFmts>
  <fonts count="4" x14ac:knownFonts="1"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3" fillId="0" borderId="5" xfId="0" applyFont="1" applyBorder="1" applyAlignment="1">
      <alignment vertical="center"/>
    </xf>
    <xf numFmtId="0" fontId="1" fillId="0" borderId="5" xfId="1" applyBorder="1" applyAlignment="1">
      <alignment vertical="center"/>
    </xf>
    <xf numFmtId="1" fontId="0" fillId="0" borderId="5" xfId="0" quotePrefix="1" applyNumberFormat="1" applyBorder="1" applyAlignment="1">
      <alignment vertical="center"/>
    </xf>
    <xf numFmtId="0" fontId="0" fillId="0" borderId="5" xfId="0" quotePrefix="1" applyBorder="1" applyAlignment="1">
      <alignment vertical="center"/>
    </xf>
    <xf numFmtId="164" fontId="0" fillId="0" borderId="5" xfId="0" applyNumberForma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164" fontId="0" fillId="0" borderId="5" xfId="0" applyNumberFormat="1" applyBorder="1" applyAlignment="1">
      <alignment horizontal="right" vertic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vertical="center"/>
    </xf>
    <xf numFmtId="1" fontId="0" fillId="0" borderId="5" xfId="0" applyNumberFormat="1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7" xfId="1" applyBorder="1" applyAlignment="1">
      <alignment vertical="center"/>
    </xf>
    <xf numFmtId="1" fontId="0" fillId="0" borderId="7" xfId="0" quotePrefix="1" applyNumberFormat="1" applyBorder="1" applyAlignment="1">
      <alignment vertical="center"/>
    </xf>
    <xf numFmtId="164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vertical="center"/>
    </xf>
  </cellXfs>
  <cellStyles count="2">
    <cellStyle name="Hyperlink" xfId="1" builtinId="8"/>
    <cellStyle name="Normal" xfId="0" builtinId="0"/>
  </cellStyles>
  <dxfs count="23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relative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[$-421]dd\ mmmm\ yyyy;@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421]dd\ mmmm\ yyyy;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42F9C4-5843-4ED1-A47E-12F4DB7F75B1}" name="Table1" displayName="Table1" ref="A2:R58" totalsRowShown="0" headerRowDxfId="22" dataDxfId="21" headerRowBorderDxfId="19" tableBorderDxfId="20" totalsRowBorderDxfId="18">
  <autoFilter ref="A2:R58" xr:uid="{5F42F9C4-5843-4ED1-A47E-12F4DB7F75B1}"/>
  <sortState xmlns:xlrd2="http://schemas.microsoft.com/office/spreadsheetml/2017/richdata2" ref="A3:Q49">
    <sortCondition ref="A2:A49"/>
  </sortState>
  <tableColumns count="18">
    <tableColumn id="1" xr3:uid="{6C9AFE62-F894-410E-98E0-9FC12115DBF1}" name="   ID Karyawan                              " dataDxfId="17"/>
    <tableColumn id="2" xr3:uid="{BDD3A716-52A9-4140-AFAC-74D6B96F2047}" name="NAMA" dataDxfId="16"/>
    <tableColumn id="21" xr3:uid="{70968753-D041-4E0C-A3A4-6F028F915EB1}" name="EMAIL" dataDxfId="15"/>
    <tableColumn id="12" xr3:uid="{A086297E-3D0A-461B-BEE9-77EC94F0E4C6}" name="DEVISI" dataDxfId="14"/>
    <tableColumn id="20" xr3:uid="{61FFE3D2-045E-4B31-A9F9-9F1B4C8AE219}" name="NIK" dataDxfId="13"/>
    <tableColumn id="13" xr3:uid="{4C23D886-251D-4723-99FF-A884DD1A0EAB}" name="Tempat Lahir" dataDxfId="12"/>
    <tableColumn id="5" xr3:uid="{E2FC0053-ACCB-401F-BE28-E33D12F3F92A}" name="TTL" dataDxfId="11"/>
    <tableColumn id="6" xr3:uid="{49AB7B9C-4360-4118-B731-46A0A1ACF2CE}" name="UMUR (th)" dataDxfId="10">
      <calculatedColumnFormula>DATEDIF(Table1[[#This Row],[TTL]],TODAY(),"Y")</calculatedColumnFormula>
    </tableColumn>
    <tableColumn id="7" xr3:uid="{888891BC-31A4-48BA-AF1F-5708BB6A9E56}" name="JENIS KELAMIN" dataDxfId="9"/>
    <tableColumn id="8" xr3:uid="{A3165468-BEFB-43A4-8DF2-1CE863C1CAF1}" name="ALAMAT" dataDxfId="8"/>
    <tableColumn id="9" xr3:uid="{A72D8DD6-5092-4887-BC7C-751B11B33556}" name="PENDIDIKAN TERAKHIR" dataDxfId="7"/>
    <tableColumn id="10" xr3:uid="{9ACDE13E-978B-41B6-A349-0AE19DABE8B3}" name="PRODI" dataDxfId="6"/>
    <tableColumn id="11" xr3:uid="{CCB408D8-A067-4085-92CD-474CC8B955E3}" name="TAHUN LULUS" dataDxfId="5"/>
    <tableColumn id="16" xr3:uid="{7A8E7C2A-F8E2-49F7-903E-C3FD0BCA09CB}" name="PERUSAHAAN" dataDxfId="4"/>
    <tableColumn id="15" xr3:uid="{D81A3504-AE65-4AE6-B0A6-B6A49AD60A56}" name="AWAL MASUK" dataDxfId="3">
      <calculatedColumnFormula>EDATE(TODAY(),-Table1[[#This Row],[BULAN]])</calculatedColumnFormula>
    </tableColumn>
    <tableColumn id="17" xr3:uid="{AAD3F5EF-CBB4-4CAE-8D17-6E8FEA9E6BFA}" name="BULAN" dataDxfId="2">
      <calculatedColumnFormula>DATEDIF(O3, TODAY(), "m")</calculatedColumnFormula>
    </tableColumn>
    <tableColumn id="18" xr3:uid="{88DFA0F6-B290-4D54-8692-5EE5A4167B30}" name="TAHUN" dataDxfId="1">
      <calculatedColumnFormula>IF(P3&gt;=12, INT(P3/12) &amp; " TAHUN " &amp; MOD(P3,12) &amp; " BULAN", P3 &amp; " BULAN")</calculatedColumnFormula>
    </tableColumn>
    <tableColumn id="19" xr3:uid="{8D760E3E-90B0-4BA5-AE4F-AEC8D5D6C4F2}" name="TANGGAL GAJIA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izkyku29@gmail.com" TargetMode="External"/><Relationship Id="rId13" Type="http://schemas.openxmlformats.org/officeDocument/2006/relationships/hyperlink" Target="mailto:chiquitaputrikinanti@gmail.com" TargetMode="External"/><Relationship Id="rId18" Type="http://schemas.openxmlformats.org/officeDocument/2006/relationships/hyperlink" Target="mailto:adityabagoes13@gmail.com" TargetMode="External"/><Relationship Id="rId3" Type="http://schemas.openxmlformats.org/officeDocument/2006/relationships/hyperlink" Target="mailto:ririnpurnawati46@gmail.com" TargetMode="External"/><Relationship Id="rId21" Type="http://schemas.openxmlformats.org/officeDocument/2006/relationships/table" Target="../tables/table1.xml"/><Relationship Id="rId7" Type="http://schemas.openxmlformats.org/officeDocument/2006/relationships/hyperlink" Target="mailto:fionikarunia83@gmail.com" TargetMode="External"/><Relationship Id="rId12" Type="http://schemas.openxmlformats.org/officeDocument/2006/relationships/hyperlink" Target="mailto:atikamirna17@gmail.com" TargetMode="External"/><Relationship Id="rId17" Type="http://schemas.openxmlformats.org/officeDocument/2006/relationships/hyperlink" Target="mailto:fadhiltsany25@gmail.com" TargetMode="External"/><Relationship Id="rId2" Type="http://schemas.openxmlformats.org/officeDocument/2006/relationships/hyperlink" Target="mailto:aldentyo06@gmail.com" TargetMode="External"/><Relationship Id="rId16" Type="http://schemas.openxmlformats.org/officeDocument/2006/relationships/hyperlink" Target="mailto:Styadt92@gmail.com" TargetMode="External"/><Relationship Id="rId20" Type="http://schemas.openxmlformats.org/officeDocument/2006/relationships/hyperlink" Target="mailto:fayzakamilia15@gmail.com" TargetMode="External"/><Relationship Id="rId1" Type="http://schemas.openxmlformats.org/officeDocument/2006/relationships/hyperlink" Target="mailto:onceprasetyaningrum15@gmail.com" TargetMode="External"/><Relationship Id="rId6" Type="http://schemas.openxmlformats.org/officeDocument/2006/relationships/hyperlink" Target="mailto:hapsari.herliana@gmail.com" TargetMode="External"/><Relationship Id="rId11" Type="http://schemas.openxmlformats.org/officeDocument/2006/relationships/hyperlink" Target="mailto:dheavitatiaraa@gmail.com" TargetMode="External"/><Relationship Id="rId5" Type="http://schemas.openxmlformats.org/officeDocument/2006/relationships/hyperlink" Target="mailto:azkahafiyyan02@gmail.com" TargetMode="External"/><Relationship Id="rId15" Type="http://schemas.openxmlformats.org/officeDocument/2006/relationships/hyperlink" Target="mailto:wdrfrnnd001@gmail.com" TargetMode="External"/><Relationship Id="rId10" Type="http://schemas.openxmlformats.org/officeDocument/2006/relationships/hyperlink" Target="mailto:nisachoirun818@gmail.com" TargetMode="External"/><Relationship Id="rId19" Type="http://schemas.openxmlformats.org/officeDocument/2006/relationships/hyperlink" Target="mailto:fvstr2505@gmail.com" TargetMode="External"/><Relationship Id="rId4" Type="http://schemas.openxmlformats.org/officeDocument/2006/relationships/hyperlink" Target="mailto:ajidimas1@gmail.com" TargetMode="External"/><Relationship Id="rId9" Type="http://schemas.openxmlformats.org/officeDocument/2006/relationships/hyperlink" Target="mailto:ibayu1999@gmail.com" TargetMode="External"/><Relationship Id="rId14" Type="http://schemas.openxmlformats.org/officeDocument/2006/relationships/hyperlink" Target="mailto:kurniawan.solo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F6C1-554A-4A97-A763-2DE66F5CAADF}">
  <dimension ref="A2:R58"/>
  <sheetViews>
    <sheetView tabSelected="1" workbookViewId="0">
      <selection activeCell="T60" sqref="T60"/>
    </sheetView>
  </sheetViews>
  <sheetFormatPr defaultRowHeight="15" x14ac:dyDescent="0.25"/>
  <cols>
    <col min="1" max="1" width="41.7109375" customWidth="1"/>
    <col min="2" max="2" width="55" customWidth="1"/>
    <col min="3" max="3" width="38.28515625" customWidth="1"/>
    <col min="4" max="4" width="20.42578125" customWidth="1"/>
    <col min="5" max="5" width="26.85546875" customWidth="1"/>
    <col min="6" max="6" width="18.42578125" customWidth="1"/>
    <col min="7" max="7" width="18.28515625" customWidth="1"/>
    <col min="8" max="8" width="12.28515625" customWidth="1"/>
    <col min="9" max="9" width="18.28515625" customWidth="1"/>
    <col min="10" max="10" width="82.140625" customWidth="1"/>
    <col min="11" max="11" width="14.7109375" customWidth="1"/>
    <col min="12" max="12" width="36.85546875" customWidth="1"/>
    <col min="14" max="14" width="22.140625" customWidth="1"/>
    <col min="15" max="15" width="19" customWidth="1"/>
    <col min="16" max="16" width="9.28515625" customWidth="1"/>
    <col min="17" max="17" width="25.42578125" customWidth="1"/>
    <col min="18" max="18" width="13.28515625" customWidth="1"/>
  </cols>
  <sheetData>
    <row r="2" spans="1:18" ht="31.5" x14ac:dyDescent="0.25">
      <c r="A2" s="1" t="s">
        <v>217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3" t="s">
        <v>7</v>
      </c>
      <c r="J2" s="2" t="s">
        <v>8</v>
      </c>
      <c r="K2" s="3" t="s">
        <v>9</v>
      </c>
      <c r="L2" s="2" t="s">
        <v>10</v>
      </c>
      <c r="M2" s="4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3" t="s">
        <v>16</v>
      </c>
    </row>
    <row r="3" spans="1:18" x14ac:dyDescent="0.25">
      <c r="A3" s="5">
        <v>100001</v>
      </c>
      <c r="B3" s="6" t="s">
        <v>17</v>
      </c>
      <c r="C3" s="8" t="s">
        <v>18</v>
      </c>
      <c r="D3" s="6" t="s">
        <v>19</v>
      </c>
      <c r="E3" s="9" t="s">
        <v>20</v>
      </c>
      <c r="F3" s="10" t="s">
        <v>21</v>
      </c>
      <c r="G3" s="11">
        <v>37705</v>
      </c>
      <c r="H3" s="12">
        <f ca="1">DATEDIF(Table1[[#This Row],[TTL]],TODAY(),"Y")</f>
        <v>23</v>
      </c>
      <c r="I3" s="6" t="s">
        <v>22</v>
      </c>
      <c r="J3" s="6" t="s">
        <v>23</v>
      </c>
      <c r="K3" s="12" t="s">
        <v>24</v>
      </c>
      <c r="L3" s="13"/>
      <c r="M3" s="14">
        <v>2016</v>
      </c>
      <c r="N3" s="6" t="s">
        <v>25</v>
      </c>
      <c r="O3" s="15">
        <v>45445</v>
      </c>
      <c r="P3" s="16">
        <f t="shared" ref="P3:P46" ca="1" si="0">DATEDIF(O3, TODAY(), "m")</f>
        <v>26</v>
      </c>
      <c r="Q3" s="17" t="str">
        <f t="shared" ref="Q3:Q46" ca="1" si="1">IF(P3&gt;=12, INT(P3/12) &amp; " TAHUN " &amp; MOD(P3,12) &amp; " BULAN", P3 &amp; " BULAN")</f>
        <v>2 TAHUN 2 BULAN</v>
      </c>
      <c r="R3" s="18">
        <v>2</v>
      </c>
    </row>
    <row r="4" spans="1:18" x14ac:dyDescent="0.25">
      <c r="A4" s="5">
        <v>100002</v>
      </c>
      <c r="B4" s="6" t="s">
        <v>26</v>
      </c>
      <c r="C4" s="8" t="s">
        <v>27</v>
      </c>
      <c r="D4" s="6" t="s">
        <v>19</v>
      </c>
      <c r="E4" s="9" t="s">
        <v>28</v>
      </c>
      <c r="F4" s="10" t="s">
        <v>21</v>
      </c>
      <c r="G4" s="11">
        <v>37227</v>
      </c>
      <c r="H4" s="12">
        <f ca="1">DATEDIF(Table1[[#This Row],[TTL]],TODAY(),"Y")</f>
        <v>24</v>
      </c>
      <c r="I4" s="6" t="s">
        <v>22</v>
      </c>
      <c r="J4" s="6" t="s">
        <v>29</v>
      </c>
      <c r="K4" s="12" t="s">
        <v>30</v>
      </c>
      <c r="L4" s="13" t="s">
        <v>31</v>
      </c>
      <c r="M4" s="14">
        <v>2022</v>
      </c>
      <c r="N4" s="6" t="s">
        <v>25</v>
      </c>
      <c r="O4" s="15">
        <v>45177</v>
      </c>
      <c r="P4" s="16">
        <f t="shared" ca="1" si="0"/>
        <v>34</v>
      </c>
      <c r="Q4" s="17" t="str">
        <f t="shared" ca="1" si="1"/>
        <v>2 TAHUN 10 BULAN</v>
      </c>
      <c r="R4" s="18">
        <v>8</v>
      </c>
    </row>
    <row r="5" spans="1:18" x14ac:dyDescent="0.25">
      <c r="A5" s="5">
        <v>100003</v>
      </c>
      <c r="B5" s="6" t="s">
        <v>32</v>
      </c>
      <c r="C5" s="8" t="s">
        <v>33</v>
      </c>
      <c r="D5" s="6" t="s">
        <v>19</v>
      </c>
      <c r="E5" s="9" t="s">
        <v>34</v>
      </c>
      <c r="F5" s="10" t="s">
        <v>21</v>
      </c>
      <c r="G5" s="11">
        <v>38447</v>
      </c>
      <c r="H5" s="12">
        <f ca="1">DATEDIF(Table1[[#This Row],[TTL]],TODAY(),"Y")</f>
        <v>21</v>
      </c>
      <c r="I5" s="6" t="s">
        <v>35</v>
      </c>
      <c r="J5" s="6" t="s">
        <v>36</v>
      </c>
      <c r="K5" s="12" t="s">
        <v>37</v>
      </c>
      <c r="L5" s="13"/>
      <c r="M5" s="14">
        <v>2022</v>
      </c>
      <c r="N5" s="6" t="s">
        <v>25</v>
      </c>
      <c r="O5" s="15">
        <v>45822</v>
      </c>
      <c r="P5" s="16">
        <f t="shared" ca="1" si="0"/>
        <v>13</v>
      </c>
      <c r="Q5" s="17" t="str">
        <f t="shared" ca="1" si="1"/>
        <v>1 TAHUN 1 BULAN</v>
      </c>
      <c r="R5" s="18">
        <v>14</v>
      </c>
    </row>
    <row r="6" spans="1:18" x14ac:dyDescent="0.25">
      <c r="A6" s="5">
        <v>100004</v>
      </c>
      <c r="B6" s="6" t="s">
        <v>38</v>
      </c>
      <c r="C6" s="7"/>
      <c r="D6" s="6" t="s">
        <v>39</v>
      </c>
      <c r="E6" s="9" t="s">
        <v>40</v>
      </c>
      <c r="F6" s="10" t="s">
        <v>41</v>
      </c>
      <c r="G6" s="11">
        <v>36543</v>
      </c>
      <c r="H6" s="12">
        <f ca="1">DATEDIF(Table1[[#This Row],[TTL]],TODAY(),"Y")</f>
        <v>26</v>
      </c>
      <c r="I6" s="6" t="s">
        <v>35</v>
      </c>
      <c r="J6" s="6" t="s">
        <v>42</v>
      </c>
      <c r="K6" s="12" t="s">
        <v>30</v>
      </c>
      <c r="L6" s="13" t="s">
        <v>43</v>
      </c>
      <c r="M6" s="14">
        <v>2019</v>
      </c>
      <c r="N6" s="6" t="s">
        <v>25</v>
      </c>
      <c r="O6" s="15">
        <v>45933</v>
      </c>
      <c r="P6" s="16">
        <f t="shared" ca="1" si="0"/>
        <v>10</v>
      </c>
      <c r="Q6" s="17" t="str">
        <f t="shared" ca="1" si="1"/>
        <v>10 BULAN</v>
      </c>
      <c r="R6" s="18">
        <v>3</v>
      </c>
    </row>
    <row r="7" spans="1:18" x14ac:dyDescent="0.25">
      <c r="A7" s="5">
        <v>100005</v>
      </c>
      <c r="B7" s="6" t="s">
        <v>44</v>
      </c>
      <c r="C7" s="8" t="s">
        <v>45</v>
      </c>
      <c r="D7" s="6" t="s">
        <v>19</v>
      </c>
      <c r="E7" s="9" t="s">
        <v>46</v>
      </c>
      <c r="F7" s="10" t="s">
        <v>47</v>
      </c>
      <c r="G7" s="11">
        <v>36591</v>
      </c>
      <c r="H7" s="12">
        <f ca="1">DATEDIF(Table1[[#This Row],[TTL]],TODAY(),"Y")</f>
        <v>26</v>
      </c>
      <c r="I7" s="6" t="s">
        <v>22</v>
      </c>
      <c r="J7" s="6" t="s">
        <v>48</v>
      </c>
      <c r="K7" s="12" t="s">
        <v>30</v>
      </c>
      <c r="L7" s="13"/>
      <c r="M7" s="14">
        <v>2018</v>
      </c>
      <c r="N7" s="6" t="s">
        <v>25</v>
      </c>
      <c r="O7" s="15">
        <v>46097</v>
      </c>
      <c r="P7" s="16">
        <f t="shared" ca="1" si="0"/>
        <v>4</v>
      </c>
      <c r="Q7" s="17" t="str">
        <f t="shared" ca="1" si="1"/>
        <v>4 BULAN</v>
      </c>
      <c r="R7" s="18">
        <v>16</v>
      </c>
    </row>
    <row r="8" spans="1:18" x14ac:dyDescent="0.25">
      <c r="A8" s="5">
        <v>100006</v>
      </c>
      <c r="B8" s="6" t="s">
        <v>49</v>
      </c>
      <c r="C8" s="7"/>
      <c r="D8" s="6" t="s">
        <v>19</v>
      </c>
      <c r="E8" s="9" t="s">
        <v>50</v>
      </c>
      <c r="F8" s="10" t="s">
        <v>51</v>
      </c>
      <c r="G8" s="11">
        <v>37617</v>
      </c>
      <c r="H8" s="12">
        <f ca="1">DATEDIF(Table1[[#This Row],[TTL]],TODAY(),"Y")</f>
        <v>23</v>
      </c>
      <c r="I8" s="6" t="s">
        <v>35</v>
      </c>
      <c r="J8" s="6" t="s">
        <v>52</v>
      </c>
      <c r="K8" s="12" t="s">
        <v>30</v>
      </c>
      <c r="L8" s="13" t="s">
        <v>43</v>
      </c>
      <c r="M8" s="14">
        <v>2021</v>
      </c>
      <c r="N8" s="6" t="s">
        <v>25</v>
      </c>
      <c r="O8" s="15">
        <v>45807</v>
      </c>
      <c r="P8" s="16">
        <f t="shared" ca="1" si="0"/>
        <v>14</v>
      </c>
      <c r="Q8" s="17" t="str">
        <f t="shared" ca="1" si="1"/>
        <v>1 TAHUN 2 BULAN</v>
      </c>
      <c r="R8" s="18">
        <v>30</v>
      </c>
    </row>
    <row r="9" spans="1:18" x14ac:dyDescent="0.25">
      <c r="A9" s="5">
        <v>100007</v>
      </c>
      <c r="B9" s="6" t="s">
        <v>53</v>
      </c>
      <c r="C9" s="7"/>
      <c r="D9" s="6" t="s">
        <v>19</v>
      </c>
      <c r="E9" s="9" t="s">
        <v>54</v>
      </c>
      <c r="F9" s="10" t="s">
        <v>21</v>
      </c>
      <c r="G9" s="11">
        <v>34713</v>
      </c>
      <c r="H9" s="12">
        <f ca="1">DATEDIF(Table1[[#This Row],[TTL]],TODAY(),"Y")</f>
        <v>31</v>
      </c>
      <c r="I9" s="6" t="s">
        <v>22</v>
      </c>
      <c r="J9" s="6" t="s">
        <v>55</v>
      </c>
      <c r="K9" s="12" t="s">
        <v>30</v>
      </c>
      <c r="L9" s="13" t="s">
        <v>56</v>
      </c>
      <c r="M9" s="14">
        <v>2013</v>
      </c>
      <c r="N9" s="6" t="s">
        <v>25</v>
      </c>
      <c r="O9" s="15">
        <v>45447</v>
      </c>
      <c r="P9" s="16">
        <f t="shared" ca="1" si="0"/>
        <v>26</v>
      </c>
      <c r="Q9" s="17" t="str">
        <f t="shared" ca="1" si="1"/>
        <v>2 TAHUN 2 BULAN</v>
      </c>
      <c r="R9" s="18">
        <v>4</v>
      </c>
    </row>
    <row r="10" spans="1:18" x14ac:dyDescent="0.25">
      <c r="A10" s="5">
        <v>100008</v>
      </c>
      <c r="B10" s="6" t="s">
        <v>57</v>
      </c>
      <c r="C10" s="7"/>
      <c r="D10" s="6" t="s">
        <v>19</v>
      </c>
      <c r="E10" s="9" t="s">
        <v>58</v>
      </c>
      <c r="F10" s="10" t="s">
        <v>59</v>
      </c>
      <c r="G10" s="11">
        <v>35362</v>
      </c>
      <c r="H10" s="12">
        <f ca="1">DATEDIF(Table1[[#This Row],[TTL]],TODAY(),"Y")</f>
        <v>29</v>
      </c>
      <c r="I10" s="6" t="s">
        <v>22</v>
      </c>
      <c r="J10" s="6" t="s">
        <v>60</v>
      </c>
      <c r="K10" s="12" t="s">
        <v>30</v>
      </c>
      <c r="L10" s="13" t="s">
        <v>61</v>
      </c>
      <c r="M10" s="14">
        <v>2017</v>
      </c>
      <c r="N10" s="6" t="s">
        <v>25</v>
      </c>
      <c r="O10" s="15">
        <v>45610</v>
      </c>
      <c r="P10" s="16">
        <f t="shared" ca="1" si="0"/>
        <v>20</v>
      </c>
      <c r="Q10" s="17" t="str">
        <f t="shared" ca="1" si="1"/>
        <v>1 TAHUN 8 BULAN</v>
      </c>
      <c r="R10" s="18">
        <v>14</v>
      </c>
    </row>
    <row r="11" spans="1:18" x14ac:dyDescent="0.25">
      <c r="A11" s="5">
        <v>100009</v>
      </c>
      <c r="B11" s="6" t="s">
        <v>62</v>
      </c>
      <c r="C11" s="8" t="s">
        <v>63</v>
      </c>
      <c r="D11" s="6" t="s">
        <v>19</v>
      </c>
      <c r="E11" s="9" t="s">
        <v>64</v>
      </c>
      <c r="F11" s="10" t="s">
        <v>41</v>
      </c>
      <c r="G11" s="11">
        <v>37762</v>
      </c>
      <c r="H11" s="12">
        <f ca="1">DATEDIF(Table1[[#This Row],[TTL]],TODAY(),"Y")</f>
        <v>23</v>
      </c>
      <c r="I11" s="6" t="s">
        <v>35</v>
      </c>
      <c r="J11" s="6" t="s">
        <v>65</v>
      </c>
      <c r="K11" s="12" t="s">
        <v>30</v>
      </c>
      <c r="L11" s="13" t="s">
        <v>31</v>
      </c>
      <c r="M11" s="14">
        <v>2022</v>
      </c>
      <c r="N11" s="6" t="s">
        <v>25</v>
      </c>
      <c r="O11" s="15">
        <v>44731</v>
      </c>
      <c r="P11" s="16">
        <f t="shared" ca="1" si="0"/>
        <v>49</v>
      </c>
      <c r="Q11" s="17" t="str">
        <f t="shared" ca="1" si="1"/>
        <v>4 TAHUN 1 BULAN</v>
      </c>
      <c r="R11" s="18">
        <v>19</v>
      </c>
    </row>
    <row r="12" spans="1:18" x14ac:dyDescent="0.25">
      <c r="A12" s="5">
        <v>100010</v>
      </c>
      <c r="B12" s="6" t="s">
        <v>66</v>
      </c>
      <c r="C12" s="7"/>
      <c r="D12" s="6" t="s">
        <v>19</v>
      </c>
      <c r="E12" s="9" t="s">
        <v>67</v>
      </c>
      <c r="F12" s="10" t="s">
        <v>21</v>
      </c>
      <c r="G12" s="11">
        <v>37286</v>
      </c>
      <c r="H12" s="12">
        <f ca="1">DATEDIF(Table1[[#This Row],[TTL]],TODAY(),"Y")</f>
        <v>24</v>
      </c>
      <c r="I12" s="6" t="s">
        <v>35</v>
      </c>
      <c r="J12" s="6" t="s">
        <v>68</v>
      </c>
      <c r="K12" s="12" t="s">
        <v>37</v>
      </c>
      <c r="L12" s="13" t="s">
        <v>69</v>
      </c>
      <c r="M12" s="14">
        <v>2019</v>
      </c>
      <c r="N12" s="6" t="s">
        <v>25</v>
      </c>
      <c r="O12" s="15">
        <v>45957</v>
      </c>
      <c r="P12" s="16">
        <f t="shared" ca="1" si="0"/>
        <v>9</v>
      </c>
      <c r="Q12" s="17" t="str">
        <f t="shared" ca="1" si="1"/>
        <v>9 BULAN</v>
      </c>
      <c r="R12" s="18">
        <v>27</v>
      </c>
    </row>
    <row r="13" spans="1:18" x14ac:dyDescent="0.25">
      <c r="A13" s="5">
        <v>100011</v>
      </c>
      <c r="B13" s="6" t="s">
        <v>70</v>
      </c>
      <c r="C13" s="7"/>
      <c r="D13" s="6" t="s">
        <v>19</v>
      </c>
      <c r="E13" s="9" t="s">
        <v>71</v>
      </c>
      <c r="F13" s="10" t="s">
        <v>21</v>
      </c>
      <c r="G13" s="11">
        <v>37369</v>
      </c>
      <c r="H13" s="12">
        <f ca="1">DATEDIF(Table1[[#This Row],[TTL]],TODAY(),"Y")</f>
        <v>24</v>
      </c>
      <c r="I13" s="6" t="s">
        <v>22</v>
      </c>
      <c r="J13" s="6" t="s">
        <v>72</v>
      </c>
      <c r="K13" s="12" t="s">
        <v>30</v>
      </c>
      <c r="L13" s="13" t="s">
        <v>73</v>
      </c>
      <c r="M13" s="14">
        <v>2021</v>
      </c>
      <c r="N13" s="6" t="s">
        <v>25</v>
      </c>
      <c r="O13" s="15">
        <v>44849</v>
      </c>
      <c r="P13" s="16">
        <f t="shared" ca="1" si="0"/>
        <v>45</v>
      </c>
      <c r="Q13" s="17" t="str">
        <f t="shared" ca="1" si="1"/>
        <v>3 TAHUN 9 BULAN</v>
      </c>
      <c r="R13" s="18">
        <v>15</v>
      </c>
    </row>
    <row r="14" spans="1:18" x14ac:dyDescent="0.25">
      <c r="A14" s="5">
        <v>100012</v>
      </c>
      <c r="B14" s="6" t="s">
        <v>74</v>
      </c>
      <c r="C14" s="8" t="s">
        <v>75</v>
      </c>
      <c r="D14" s="6" t="s">
        <v>19</v>
      </c>
      <c r="E14" s="9" t="s">
        <v>76</v>
      </c>
      <c r="F14" s="10" t="s">
        <v>21</v>
      </c>
      <c r="G14" s="11">
        <v>36299</v>
      </c>
      <c r="H14" s="12">
        <f ca="1">DATEDIF(Table1[[#This Row],[TTL]],TODAY(),"Y")</f>
        <v>27</v>
      </c>
      <c r="I14" s="6" t="s">
        <v>22</v>
      </c>
      <c r="J14" s="6" t="s">
        <v>77</v>
      </c>
      <c r="K14" s="12" t="s">
        <v>30</v>
      </c>
      <c r="L14" s="13" t="s">
        <v>78</v>
      </c>
      <c r="M14" s="14">
        <v>2017</v>
      </c>
      <c r="N14" s="6" t="s">
        <v>25</v>
      </c>
      <c r="O14" s="15">
        <v>44810</v>
      </c>
      <c r="P14" s="16">
        <f t="shared" ca="1" si="0"/>
        <v>46</v>
      </c>
      <c r="Q14" s="17" t="str">
        <f t="shared" ca="1" si="1"/>
        <v>3 TAHUN 10 BULAN</v>
      </c>
      <c r="R14" s="18">
        <v>6</v>
      </c>
    </row>
    <row r="15" spans="1:18" x14ac:dyDescent="0.25">
      <c r="A15" s="5">
        <v>100013</v>
      </c>
      <c r="B15" s="6" t="s">
        <v>79</v>
      </c>
      <c r="C15" s="8" t="s">
        <v>80</v>
      </c>
      <c r="D15" s="6" t="s">
        <v>19</v>
      </c>
      <c r="E15" s="9" t="s">
        <v>81</v>
      </c>
      <c r="F15" s="10" t="s">
        <v>82</v>
      </c>
      <c r="G15" s="11">
        <v>37822</v>
      </c>
      <c r="H15" s="12">
        <f ca="1">DATEDIF(Table1[[#This Row],[TTL]],TODAY(),"Y")</f>
        <v>23</v>
      </c>
      <c r="I15" s="6" t="s">
        <v>35</v>
      </c>
      <c r="J15" s="6" t="s">
        <v>83</v>
      </c>
      <c r="K15" s="12"/>
      <c r="L15" s="13"/>
      <c r="M15" s="14"/>
      <c r="N15" s="6" t="s">
        <v>25</v>
      </c>
      <c r="O15" s="15">
        <v>44980</v>
      </c>
      <c r="P15" s="16">
        <f t="shared" ca="1" si="0"/>
        <v>41</v>
      </c>
      <c r="Q15" s="17" t="str">
        <f t="shared" ca="1" si="1"/>
        <v>3 TAHUN 5 BULAN</v>
      </c>
      <c r="R15" s="18">
        <v>23</v>
      </c>
    </row>
    <row r="16" spans="1:18" x14ac:dyDescent="0.25">
      <c r="A16" s="5">
        <v>100014</v>
      </c>
      <c r="B16" s="6" t="s">
        <v>84</v>
      </c>
      <c r="C16" s="8" t="s">
        <v>85</v>
      </c>
      <c r="D16" s="6" t="s">
        <v>39</v>
      </c>
      <c r="E16" s="9" t="s">
        <v>86</v>
      </c>
      <c r="F16" s="10" t="s">
        <v>21</v>
      </c>
      <c r="G16" s="11">
        <v>36516</v>
      </c>
      <c r="H16" s="12">
        <f ca="1">DATEDIF(Table1[[#This Row],[TTL]],TODAY(),"Y")</f>
        <v>26</v>
      </c>
      <c r="I16" s="6" t="s">
        <v>35</v>
      </c>
      <c r="J16" s="6" t="s">
        <v>72</v>
      </c>
      <c r="K16" s="12" t="s">
        <v>30</v>
      </c>
      <c r="L16" s="13" t="s">
        <v>87</v>
      </c>
      <c r="M16" s="14">
        <v>2018</v>
      </c>
      <c r="N16" s="6" t="s">
        <v>88</v>
      </c>
      <c r="O16" s="15">
        <v>44877</v>
      </c>
      <c r="P16" s="16">
        <f t="shared" ca="1" si="0"/>
        <v>44</v>
      </c>
      <c r="Q16" s="17" t="str">
        <f t="shared" ca="1" si="1"/>
        <v>3 TAHUN 8 BULAN</v>
      </c>
      <c r="R16" s="18">
        <v>12</v>
      </c>
    </row>
    <row r="17" spans="1:18" x14ac:dyDescent="0.25">
      <c r="A17" s="5">
        <v>100015</v>
      </c>
      <c r="B17" s="6" t="s">
        <v>89</v>
      </c>
      <c r="C17" s="7"/>
      <c r="D17" s="6" t="s">
        <v>19</v>
      </c>
      <c r="E17" s="9" t="s">
        <v>90</v>
      </c>
      <c r="F17" s="10" t="s">
        <v>21</v>
      </c>
      <c r="G17" s="11">
        <v>32153</v>
      </c>
      <c r="H17" s="12">
        <f ca="1">DATEDIF(Table1[[#This Row],[TTL]],TODAY(),"Y")</f>
        <v>38</v>
      </c>
      <c r="I17" s="6" t="s">
        <v>22</v>
      </c>
      <c r="J17" s="6" t="s">
        <v>91</v>
      </c>
      <c r="K17" s="12" t="s">
        <v>37</v>
      </c>
      <c r="L17" s="13" t="s">
        <v>92</v>
      </c>
      <c r="M17" s="14">
        <v>2006</v>
      </c>
      <c r="N17" s="6" t="s">
        <v>25</v>
      </c>
      <c r="O17" s="15">
        <v>45614</v>
      </c>
      <c r="P17" s="16">
        <f t="shared" ca="1" si="0"/>
        <v>20</v>
      </c>
      <c r="Q17" s="17" t="str">
        <f t="shared" ca="1" si="1"/>
        <v>1 TAHUN 8 BULAN</v>
      </c>
      <c r="R17" s="18">
        <v>18</v>
      </c>
    </row>
    <row r="18" spans="1:18" x14ac:dyDescent="0.25">
      <c r="A18" s="5">
        <v>100016</v>
      </c>
      <c r="B18" s="6" t="s">
        <v>93</v>
      </c>
      <c r="C18" s="7"/>
      <c r="D18" s="6" t="s">
        <v>19</v>
      </c>
      <c r="E18" s="9" t="s">
        <v>94</v>
      </c>
      <c r="F18" s="10" t="s">
        <v>95</v>
      </c>
      <c r="G18" s="11">
        <v>36024</v>
      </c>
      <c r="H18" s="12">
        <f ca="1">DATEDIF(Table1[[#This Row],[TTL]],TODAY(),"Y")</f>
        <v>27</v>
      </c>
      <c r="I18" s="6" t="s">
        <v>22</v>
      </c>
      <c r="J18" s="6" t="s">
        <v>96</v>
      </c>
      <c r="K18" s="12" t="s">
        <v>30</v>
      </c>
      <c r="L18" s="13" t="s">
        <v>61</v>
      </c>
      <c r="M18" s="14">
        <v>2017</v>
      </c>
      <c r="N18" s="6" t="s">
        <v>25</v>
      </c>
      <c r="O18" s="15">
        <v>44867</v>
      </c>
      <c r="P18" s="16">
        <f t="shared" ca="1" si="0"/>
        <v>45</v>
      </c>
      <c r="Q18" s="17" t="str">
        <f t="shared" ca="1" si="1"/>
        <v>3 TAHUN 9 BULAN</v>
      </c>
      <c r="R18" s="18">
        <v>2</v>
      </c>
    </row>
    <row r="19" spans="1:18" x14ac:dyDescent="0.25">
      <c r="A19" s="5">
        <v>100017</v>
      </c>
      <c r="B19" s="6" t="s">
        <v>97</v>
      </c>
      <c r="C19" s="8" t="s">
        <v>98</v>
      </c>
      <c r="D19" s="6" t="s">
        <v>19</v>
      </c>
      <c r="E19" s="9" t="s">
        <v>99</v>
      </c>
      <c r="F19" s="10" t="s">
        <v>100</v>
      </c>
      <c r="G19" s="11">
        <v>37218</v>
      </c>
      <c r="H19" s="12">
        <f ca="1">DATEDIF(Table1[[#This Row],[TTL]],TODAY(),"Y")</f>
        <v>24</v>
      </c>
      <c r="I19" s="6" t="s">
        <v>35</v>
      </c>
      <c r="J19" s="6" t="s">
        <v>101</v>
      </c>
      <c r="K19" s="12" t="s">
        <v>30</v>
      </c>
      <c r="L19" s="13" t="s">
        <v>102</v>
      </c>
      <c r="M19" s="14">
        <v>2020</v>
      </c>
      <c r="N19" s="6" t="s">
        <v>25</v>
      </c>
      <c r="O19" s="15">
        <v>45802</v>
      </c>
      <c r="P19" s="16">
        <f t="shared" ca="1" si="0"/>
        <v>14</v>
      </c>
      <c r="Q19" s="17" t="str">
        <f t="shared" ca="1" si="1"/>
        <v>1 TAHUN 2 BULAN</v>
      </c>
      <c r="R19" s="18">
        <v>25</v>
      </c>
    </row>
    <row r="20" spans="1:18" x14ac:dyDescent="0.25">
      <c r="A20" s="5">
        <v>100018</v>
      </c>
      <c r="B20" s="6" t="s">
        <v>103</v>
      </c>
      <c r="C20" s="8" t="s">
        <v>104</v>
      </c>
      <c r="D20" s="6" t="s">
        <v>39</v>
      </c>
      <c r="E20" s="9" t="s">
        <v>105</v>
      </c>
      <c r="F20" s="10" t="s">
        <v>95</v>
      </c>
      <c r="G20" s="11">
        <v>38700</v>
      </c>
      <c r="H20" s="12">
        <f ca="1">DATEDIF(Table1[[#This Row],[TTL]],TODAY(),"Y")</f>
        <v>20</v>
      </c>
      <c r="I20" s="6" t="s">
        <v>22</v>
      </c>
      <c r="J20" s="6" t="s">
        <v>106</v>
      </c>
      <c r="K20" s="12" t="s">
        <v>30</v>
      </c>
      <c r="L20" s="13" t="s">
        <v>107</v>
      </c>
      <c r="M20" s="14">
        <v>2024</v>
      </c>
      <c r="N20" s="6" t="s">
        <v>88</v>
      </c>
      <c r="O20" s="15">
        <v>46050</v>
      </c>
      <c r="P20" s="16">
        <f t="shared" ca="1" si="0"/>
        <v>6</v>
      </c>
      <c r="Q20" s="17" t="str">
        <f t="shared" ca="1" si="1"/>
        <v>6 BULAN</v>
      </c>
      <c r="R20" s="18">
        <v>28</v>
      </c>
    </row>
    <row r="21" spans="1:18" x14ac:dyDescent="0.25">
      <c r="A21" s="5">
        <v>100019</v>
      </c>
      <c r="B21" s="6" t="s">
        <v>108</v>
      </c>
      <c r="C21" s="7"/>
      <c r="D21" s="6" t="s">
        <v>19</v>
      </c>
      <c r="E21" s="9" t="s">
        <v>109</v>
      </c>
      <c r="F21" s="10" t="s">
        <v>21</v>
      </c>
      <c r="G21" s="11">
        <v>32021</v>
      </c>
      <c r="H21" s="12">
        <f ca="1">DATEDIF(Table1[[#This Row],[TTL]],TODAY(),"Y")</f>
        <v>38</v>
      </c>
      <c r="I21" s="6" t="s">
        <v>35</v>
      </c>
      <c r="J21" s="6" t="s">
        <v>110</v>
      </c>
      <c r="K21" s="12" t="s">
        <v>30</v>
      </c>
      <c r="L21" s="13" t="s">
        <v>111</v>
      </c>
      <c r="M21" s="14">
        <v>2006</v>
      </c>
      <c r="N21" s="6" t="s">
        <v>25</v>
      </c>
      <c r="O21" s="15">
        <v>45177</v>
      </c>
      <c r="P21" s="16">
        <f t="shared" ca="1" si="0"/>
        <v>34</v>
      </c>
      <c r="Q21" s="17" t="str">
        <f t="shared" ca="1" si="1"/>
        <v>2 TAHUN 10 BULAN</v>
      </c>
      <c r="R21" s="18">
        <v>8</v>
      </c>
    </row>
    <row r="22" spans="1:18" x14ac:dyDescent="0.25">
      <c r="A22" s="5">
        <v>100020</v>
      </c>
      <c r="B22" s="6" t="s">
        <v>112</v>
      </c>
      <c r="C22" s="8" t="s">
        <v>113</v>
      </c>
      <c r="D22" s="6" t="s">
        <v>19</v>
      </c>
      <c r="E22" s="9" t="s">
        <v>114</v>
      </c>
      <c r="F22" s="10" t="s">
        <v>21</v>
      </c>
      <c r="G22" s="11">
        <v>38071</v>
      </c>
      <c r="H22" s="12">
        <f ca="1">DATEDIF(Table1[[#This Row],[TTL]],TODAY(),"Y")</f>
        <v>22</v>
      </c>
      <c r="I22" s="6" t="s">
        <v>22</v>
      </c>
      <c r="J22" s="6" t="s">
        <v>115</v>
      </c>
      <c r="K22" s="12" t="s">
        <v>30</v>
      </c>
      <c r="L22" s="13" t="s">
        <v>116</v>
      </c>
      <c r="M22" s="14">
        <v>2022</v>
      </c>
      <c r="N22" s="6" t="s">
        <v>25</v>
      </c>
      <c r="O22" s="15">
        <v>44959</v>
      </c>
      <c r="P22" s="16">
        <f t="shared" ca="1" si="0"/>
        <v>42</v>
      </c>
      <c r="Q22" s="17" t="str">
        <f t="shared" ca="1" si="1"/>
        <v>3 TAHUN 6 BULAN</v>
      </c>
      <c r="R22" s="18">
        <v>2</v>
      </c>
    </row>
    <row r="23" spans="1:18" x14ac:dyDescent="0.25">
      <c r="A23" s="5">
        <v>100021</v>
      </c>
      <c r="B23" s="6" t="s">
        <v>117</v>
      </c>
      <c r="C23" s="8" t="s">
        <v>118</v>
      </c>
      <c r="D23" s="6" t="s">
        <v>39</v>
      </c>
      <c r="E23" s="9" t="s">
        <v>119</v>
      </c>
      <c r="F23" s="10" t="s">
        <v>21</v>
      </c>
      <c r="G23" s="11">
        <v>38778</v>
      </c>
      <c r="H23" s="12">
        <f ca="1">DATEDIF(Table1[[#This Row],[TTL]],TODAY(),"Y")</f>
        <v>20</v>
      </c>
      <c r="I23" s="6" t="s">
        <v>22</v>
      </c>
      <c r="J23" s="6" t="s">
        <v>120</v>
      </c>
      <c r="K23" s="12" t="s">
        <v>30</v>
      </c>
      <c r="L23" s="13" t="s">
        <v>121</v>
      </c>
      <c r="M23" s="14">
        <v>2024</v>
      </c>
      <c r="N23" s="6" t="s">
        <v>25</v>
      </c>
      <c r="O23" s="15">
        <v>46039</v>
      </c>
      <c r="P23" s="16">
        <f t="shared" ca="1" si="0"/>
        <v>6</v>
      </c>
      <c r="Q23" s="17" t="str">
        <f t="shared" ca="1" si="1"/>
        <v>6 BULAN</v>
      </c>
      <c r="R23" s="18">
        <v>17</v>
      </c>
    </row>
    <row r="24" spans="1:18" x14ac:dyDescent="0.25">
      <c r="A24" s="5">
        <v>100022</v>
      </c>
      <c r="B24" s="6" t="s">
        <v>122</v>
      </c>
      <c r="C24" s="8" t="s">
        <v>123</v>
      </c>
      <c r="D24" s="6" t="s">
        <v>39</v>
      </c>
      <c r="E24" s="9" t="s">
        <v>124</v>
      </c>
      <c r="F24" s="10" t="s">
        <v>125</v>
      </c>
      <c r="G24" s="11">
        <v>34533</v>
      </c>
      <c r="H24" s="12">
        <f ca="1">DATEDIF(Table1[[#This Row],[TTL]],TODAY(),"Y")</f>
        <v>32</v>
      </c>
      <c r="I24" s="6" t="s">
        <v>35</v>
      </c>
      <c r="J24" s="6" t="s">
        <v>126</v>
      </c>
      <c r="K24" s="12" t="s">
        <v>127</v>
      </c>
      <c r="L24" s="13" t="s">
        <v>128</v>
      </c>
      <c r="M24" s="14">
        <v>2016</v>
      </c>
      <c r="N24" s="6" t="s">
        <v>25</v>
      </c>
      <c r="O24" s="15">
        <v>44907</v>
      </c>
      <c r="P24" s="16">
        <f t="shared" ca="1" si="0"/>
        <v>43</v>
      </c>
      <c r="Q24" s="17" t="str">
        <f t="shared" ca="1" si="1"/>
        <v>3 TAHUN 7 BULAN</v>
      </c>
      <c r="R24" s="18">
        <v>12</v>
      </c>
    </row>
    <row r="25" spans="1:18" x14ac:dyDescent="0.25">
      <c r="A25" s="5">
        <v>100023</v>
      </c>
      <c r="B25" s="6" t="s">
        <v>129</v>
      </c>
      <c r="C25" s="7"/>
      <c r="D25" s="6" t="s">
        <v>19</v>
      </c>
      <c r="E25" s="9" t="s">
        <v>130</v>
      </c>
      <c r="F25" s="10" t="s">
        <v>131</v>
      </c>
      <c r="G25" s="11">
        <v>37156</v>
      </c>
      <c r="H25" s="12">
        <f ca="1">DATEDIF(Table1[[#This Row],[TTL]],TODAY(),"Y")</f>
        <v>24</v>
      </c>
      <c r="I25" s="6" t="s">
        <v>22</v>
      </c>
      <c r="J25" s="6" t="s">
        <v>132</v>
      </c>
      <c r="K25" s="12" t="s">
        <v>30</v>
      </c>
      <c r="L25" s="13" t="s">
        <v>133</v>
      </c>
      <c r="M25" s="14">
        <v>2020</v>
      </c>
      <c r="N25" s="6" t="s">
        <v>25</v>
      </c>
      <c r="O25" s="15">
        <v>45927</v>
      </c>
      <c r="P25" s="16">
        <f t="shared" ca="1" si="0"/>
        <v>10</v>
      </c>
      <c r="Q25" s="17" t="str">
        <f t="shared" ca="1" si="1"/>
        <v>10 BULAN</v>
      </c>
      <c r="R25" s="18">
        <v>27</v>
      </c>
    </row>
    <row r="26" spans="1:18" x14ac:dyDescent="0.25">
      <c r="A26" s="5">
        <v>100024</v>
      </c>
      <c r="B26" s="6" t="s">
        <v>134</v>
      </c>
      <c r="C26" s="8" t="s">
        <v>135</v>
      </c>
      <c r="D26" s="6" t="s">
        <v>39</v>
      </c>
      <c r="E26" s="9" t="s">
        <v>136</v>
      </c>
      <c r="F26" s="10" t="s">
        <v>51</v>
      </c>
      <c r="G26" s="11">
        <v>37114</v>
      </c>
      <c r="H26" s="12">
        <f ca="1">DATEDIF(Table1[[#This Row],[TTL]],TODAY(),"Y")</f>
        <v>24</v>
      </c>
      <c r="I26" s="6" t="s">
        <v>35</v>
      </c>
      <c r="J26" s="6" t="s">
        <v>132</v>
      </c>
      <c r="K26" s="12" t="s">
        <v>30</v>
      </c>
      <c r="L26" s="13" t="s">
        <v>137</v>
      </c>
      <c r="M26" s="14">
        <v>2019</v>
      </c>
      <c r="N26" s="6" t="s">
        <v>25</v>
      </c>
      <c r="O26" s="15">
        <v>44106</v>
      </c>
      <c r="P26" s="16">
        <f t="shared" ca="1" si="0"/>
        <v>70</v>
      </c>
      <c r="Q26" s="17" t="str">
        <f t="shared" ca="1" si="1"/>
        <v>5 TAHUN 10 BULAN</v>
      </c>
      <c r="R26" s="18">
        <v>2</v>
      </c>
    </row>
    <row r="27" spans="1:18" x14ac:dyDescent="0.25">
      <c r="A27" s="5">
        <v>100025</v>
      </c>
      <c r="B27" s="6" t="s">
        <v>138</v>
      </c>
      <c r="C27" s="7"/>
      <c r="D27" s="6" t="s">
        <v>19</v>
      </c>
      <c r="E27" s="9" t="s">
        <v>139</v>
      </c>
      <c r="F27" s="10" t="s">
        <v>47</v>
      </c>
      <c r="G27" s="11">
        <v>36674</v>
      </c>
      <c r="H27" s="12">
        <f ca="1">DATEDIF(Table1[[#This Row],[TTL]],TODAY(),"Y")</f>
        <v>26</v>
      </c>
      <c r="I27" s="6" t="s">
        <v>35</v>
      </c>
      <c r="J27" s="6" t="s">
        <v>140</v>
      </c>
      <c r="K27" s="12" t="s">
        <v>30</v>
      </c>
      <c r="L27" s="13" t="s">
        <v>141</v>
      </c>
      <c r="M27" s="14">
        <v>2018</v>
      </c>
      <c r="N27" s="6" t="s">
        <v>25</v>
      </c>
      <c r="O27" s="15">
        <v>46098</v>
      </c>
      <c r="P27" s="16">
        <f t="shared" ca="1" si="0"/>
        <v>4</v>
      </c>
      <c r="Q27" s="17" t="str">
        <f t="shared" ca="1" si="1"/>
        <v>4 BULAN</v>
      </c>
      <c r="R27" s="18">
        <v>17</v>
      </c>
    </row>
    <row r="28" spans="1:18" x14ac:dyDescent="0.25">
      <c r="A28" s="5">
        <v>100026</v>
      </c>
      <c r="B28" s="6" t="s">
        <v>142</v>
      </c>
      <c r="C28" s="7"/>
      <c r="D28" s="6" t="s">
        <v>19</v>
      </c>
      <c r="E28" s="9" t="s">
        <v>143</v>
      </c>
      <c r="F28" s="10" t="s">
        <v>59</v>
      </c>
      <c r="G28" s="11">
        <v>33771</v>
      </c>
      <c r="H28" s="12">
        <f ca="1">DATEDIF(Table1[[#This Row],[TTL]],TODAY(),"Y")</f>
        <v>34</v>
      </c>
      <c r="I28" s="6" t="s">
        <v>22</v>
      </c>
      <c r="J28" s="6" t="s">
        <v>144</v>
      </c>
      <c r="K28" s="12" t="s">
        <v>37</v>
      </c>
      <c r="L28" s="13" t="s">
        <v>92</v>
      </c>
      <c r="M28" s="14">
        <v>2011</v>
      </c>
      <c r="N28" s="6" t="s">
        <v>25</v>
      </c>
      <c r="O28" s="15">
        <v>44941</v>
      </c>
      <c r="P28" s="16">
        <f t="shared" ca="1" si="0"/>
        <v>42</v>
      </c>
      <c r="Q28" s="17" t="str">
        <f t="shared" ca="1" si="1"/>
        <v>3 TAHUN 6 BULAN</v>
      </c>
      <c r="R28" s="18">
        <v>15</v>
      </c>
    </row>
    <row r="29" spans="1:18" x14ac:dyDescent="0.25">
      <c r="A29" s="5">
        <v>100027</v>
      </c>
      <c r="B29" s="6" t="s">
        <v>145</v>
      </c>
      <c r="C29" s="7"/>
      <c r="D29" s="6" t="s">
        <v>19</v>
      </c>
      <c r="E29" s="9" t="s">
        <v>146</v>
      </c>
      <c r="F29" s="10" t="s">
        <v>21</v>
      </c>
      <c r="G29" s="11">
        <v>39255</v>
      </c>
      <c r="H29" s="12">
        <f ca="1">DATEDIF(Table1[[#This Row],[TTL]],TODAY(),"Y")</f>
        <v>19</v>
      </c>
      <c r="I29" s="6" t="s">
        <v>35</v>
      </c>
      <c r="J29" s="6" t="s">
        <v>147</v>
      </c>
      <c r="K29" s="12" t="s">
        <v>30</v>
      </c>
      <c r="L29" s="13" t="s">
        <v>31</v>
      </c>
      <c r="M29" s="14">
        <v>2025</v>
      </c>
      <c r="N29" s="6" t="s">
        <v>25</v>
      </c>
      <c r="O29" s="15">
        <v>46097</v>
      </c>
      <c r="P29" s="16">
        <f t="shared" ca="1" si="0"/>
        <v>4</v>
      </c>
      <c r="Q29" s="17" t="str">
        <f t="shared" ca="1" si="1"/>
        <v>4 BULAN</v>
      </c>
      <c r="R29" s="18">
        <v>16</v>
      </c>
    </row>
    <row r="30" spans="1:18" x14ac:dyDescent="0.25">
      <c r="A30" s="5">
        <v>100028</v>
      </c>
      <c r="B30" s="6" t="s">
        <v>148</v>
      </c>
      <c r="C30" s="7"/>
      <c r="D30" s="6" t="s">
        <v>19</v>
      </c>
      <c r="E30" s="9" t="s">
        <v>149</v>
      </c>
      <c r="F30" s="10" t="s">
        <v>21</v>
      </c>
      <c r="G30" s="11">
        <v>37975</v>
      </c>
      <c r="H30" s="12">
        <f ca="1">DATEDIF(Table1[[#This Row],[TTL]],TODAY(),"Y")</f>
        <v>22</v>
      </c>
      <c r="I30" s="6" t="s">
        <v>22</v>
      </c>
      <c r="J30" s="6" t="s">
        <v>150</v>
      </c>
      <c r="K30" s="12" t="s">
        <v>30</v>
      </c>
      <c r="L30" s="13" t="s">
        <v>107</v>
      </c>
      <c r="M30" s="14">
        <v>2022</v>
      </c>
      <c r="N30" s="6" t="s">
        <v>25</v>
      </c>
      <c r="O30" s="15">
        <v>45925</v>
      </c>
      <c r="P30" s="16">
        <f t="shared" ca="1" si="0"/>
        <v>10</v>
      </c>
      <c r="Q30" s="17" t="str">
        <f t="shared" ca="1" si="1"/>
        <v>10 BULAN</v>
      </c>
      <c r="R30" s="18">
        <v>25</v>
      </c>
    </row>
    <row r="31" spans="1:18" x14ac:dyDescent="0.25">
      <c r="A31" s="5">
        <v>100029</v>
      </c>
      <c r="B31" s="6" t="s">
        <v>151</v>
      </c>
      <c r="C31" s="7"/>
      <c r="D31" s="6" t="s">
        <v>19</v>
      </c>
      <c r="E31" s="9" t="s">
        <v>152</v>
      </c>
      <c r="F31" s="10" t="s">
        <v>21</v>
      </c>
      <c r="G31" s="11">
        <v>38052</v>
      </c>
      <c r="H31" s="12">
        <f ca="1">DATEDIF(Table1[[#This Row],[TTL]],TODAY(),"Y")</f>
        <v>22</v>
      </c>
      <c r="I31" s="6" t="s">
        <v>22</v>
      </c>
      <c r="J31" s="6" t="s">
        <v>153</v>
      </c>
      <c r="K31" s="12" t="s">
        <v>30</v>
      </c>
      <c r="L31" s="13" t="s">
        <v>154</v>
      </c>
      <c r="M31" s="14">
        <v>2022</v>
      </c>
      <c r="N31" s="6" t="s">
        <v>25</v>
      </c>
      <c r="O31" s="15">
        <v>45919</v>
      </c>
      <c r="P31" s="16">
        <f t="shared" ca="1" si="0"/>
        <v>10</v>
      </c>
      <c r="Q31" s="17" t="str">
        <f t="shared" ca="1" si="1"/>
        <v>10 BULAN</v>
      </c>
      <c r="R31" s="18">
        <v>19</v>
      </c>
    </row>
    <row r="32" spans="1:18" x14ac:dyDescent="0.25">
      <c r="A32" s="5">
        <v>100030</v>
      </c>
      <c r="B32" s="6" t="s">
        <v>155</v>
      </c>
      <c r="C32" s="7"/>
      <c r="D32" s="6" t="s">
        <v>19</v>
      </c>
      <c r="E32" s="9" t="s">
        <v>156</v>
      </c>
      <c r="F32" s="10" t="s">
        <v>21</v>
      </c>
      <c r="G32" s="11">
        <v>37911</v>
      </c>
      <c r="H32" s="12">
        <f ca="1">DATEDIF(Table1[[#This Row],[TTL]],TODAY(),"Y")</f>
        <v>22</v>
      </c>
      <c r="I32" s="6" t="s">
        <v>35</v>
      </c>
      <c r="J32" s="6" t="s">
        <v>23</v>
      </c>
      <c r="K32" s="12" t="s">
        <v>30</v>
      </c>
      <c r="L32" s="13" t="s">
        <v>157</v>
      </c>
      <c r="M32" s="14">
        <v>2022</v>
      </c>
      <c r="N32" s="6" t="s">
        <v>25</v>
      </c>
      <c r="O32" s="15">
        <v>45822</v>
      </c>
      <c r="P32" s="16">
        <f t="shared" ca="1" si="0"/>
        <v>13</v>
      </c>
      <c r="Q32" s="17" t="str">
        <f t="shared" ca="1" si="1"/>
        <v>1 TAHUN 1 BULAN</v>
      </c>
      <c r="R32" s="18">
        <v>14</v>
      </c>
    </row>
    <row r="33" spans="1:18" x14ac:dyDescent="0.25">
      <c r="A33" s="5">
        <v>100031</v>
      </c>
      <c r="B33" s="6" t="s">
        <v>158</v>
      </c>
      <c r="C33" s="7"/>
      <c r="D33" s="6" t="s">
        <v>19</v>
      </c>
      <c r="E33" s="9" t="s">
        <v>159</v>
      </c>
      <c r="F33" s="10" t="s">
        <v>160</v>
      </c>
      <c r="G33" s="11">
        <v>38673</v>
      </c>
      <c r="H33" s="12">
        <f ca="1">DATEDIF(Table1[[#This Row],[TTL]],TODAY(),"Y")</f>
        <v>20</v>
      </c>
      <c r="I33" s="6" t="s">
        <v>35</v>
      </c>
      <c r="J33" s="6" t="s">
        <v>161</v>
      </c>
      <c r="K33" s="12" t="s">
        <v>37</v>
      </c>
      <c r="L33" s="13" t="s">
        <v>69</v>
      </c>
      <c r="M33" s="14">
        <v>2024</v>
      </c>
      <c r="N33" s="6" t="s">
        <v>25</v>
      </c>
      <c r="O33" s="15">
        <v>45956</v>
      </c>
      <c r="P33" s="16">
        <f t="shared" ca="1" si="0"/>
        <v>9</v>
      </c>
      <c r="Q33" s="17" t="str">
        <f t="shared" ca="1" si="1"/>
        <v>9 BULAN</v>
      </c>
      <c r="R33" s="18">
        <v>26</v>
      </c>
    </row>
    <row r="34" spans="1:18" x14ac:dyDescent="0.25">
      <c r="A34" s="5">
        <v>100032</v>
      </c>
      <c r="B34" s="6" t="s">
        <v>162</v>
      </c>
      <c r="C34" s="8" t="s">
        <v>163</v>
      </c>
      <c r="D34" s="6" t="s">
        <v>39</v>
      </c>
      <c r="E34" s="9" t="s">
        <v>164</v>
      </c>
      <c r="F34" s="10" t="s">
        <v>21</v>
      </c>
      <c r="G34" s="11">
        <v>37149</v>
      </c>
      <c r="H34" s="12">
        <f ca="1">DATEDIF(Table1[[#This Row],[TTL]],TODAY(),"Y")</f>
        <v>24</v>
      </c>
      <c r="I34" s="6" t="s">
        <v>35</v>
      </c>
      <c r="J34" s="6" t="s">
        <v>165</v>
      </c>
      <c r="K34" s="12" t="s">
        <v>166</v>
      </c>
      <c r="L34" s="13"/>
      <c r="M34" s="14">
        <v>2017</v>
      </c>
      <c r="N34" s="6" t="s">
        <v>25</v>
      </c>
      <c r="O34" s="15">
        <v>45807</v>
      </c>
      <c r="P34" s="16">
        <f t="shared" ca="1" si="0"/>
        <v>14</v>
      </c>
      <c r="Q34" s="17" t="str">
        <f t="shared" ca="1" si="1"/>
        <v>1 TAHUN 2 BULAN</v>
      </c>
      <c r="R34" s="18">
        <v>30</v>
      </c>
    </row>
    <row r="35" spans="1:18" x14ac:dyDescent="0.25">
      <c r="A35" s="5">
        <v>100033</v>
      </c>
      <c r="B35" s="6" t="s">
        <v>167</v>
      </c>
      <c r="C35" s="7"/>
      <c r="D35" s="6" t="s">
        <v>39</v>
      </c>
      <c r="E35" s="9" t="s">
        <v>168</v>
      </c>
      <c r="F35" s="10" t="s">
        <v>51</v>
      </c>
      <c r="G35" s="11">
        <v>38287</v>
      </c>
      <c r="H35" s="12">
        <f ca="1">DATEDIF(Table1[[#This Row],[TTL]],TODAY(),"Y")</f>
        <v>21</v>
      </c>
      <c r="I35" s="6" t="s">
        <v>35</v>
      </c>
      <c r="J35" s="6" t="s">
        <v>169</v>
      </c>
      <c r="K35" s="12" t="s">
        <v>30</v>
      </c>
      <c r="L35" s="13" t="s">
        <v>170</v>
      </c>
      <c r="M35" s="14">
        <v>2023</v>
      </c>
      <c r="N35" s="6" t="s">
        <v>25</v>
      </c>
      <c r="O35" s="15">
        <v>45447</v>
      </c>
      <c r="P35" s="16">
        <f t="shared" ca="1" si="0"/>
        <v>26</v>
      </c>
      <c r="Q35" s="17" t="str">
        <f t="shared" ca="1" si="1"/>
        <v>2 TAHUN 2 BULAN</v>
      </c>
      <c r="R35" s="18">
        <v>4</v>
      </c>
    </row>
    <row r="36" spans="1:18" x14ac:dyDescent="0.25">
      <c r="A36" s="5">
        <v>100034</v>
      </c>
      <c r="B36" s="6" t="s">
        <v>171</v>
      </c>
      <c r="C36" s="7"/>
      <c r="D36" s="6" t="s">
        <v>39</v>
      </c>
      <c r="E36" s="9" t="s">
        <v>172</v>
      </c>
      <c r="F36" s="10" t="s">
        <v>41</v>
      </c>
      <c r="G36" s="11">
        <v>36793</v>
      </c>
      <c r="H36" s="12">
        <f ca="1">DATEDIF(Table1[[#This Row],[TTL]],TODAY(),"Y")</f>
        <v>25</v>
      </c>
      <c r="I36" s="6" t="s">
        <v>22</v>
      </c>
      <c r="J36" s="6" t="s">
        <v>173</v>
      </c>
      <c r="K36" s="12" t="s">
        <v>30</v>
      </c>
      <c r="L36" s="13" t="s">
        <v>61</v>
      </c>
      <c r="M36" s="14">
        <v>2018</v>
      </c>
      <c r="N36" s="6" t="s">
        <v>25</v>
      </c>
      <c r="O36" s="15">
        <v>45558</v>
      </c>
      <c r="P36" s="16">
        <f t="shared" ca="1" si="0"/>
        <v>22</v>
      </c>
      <c r="Q36" s="17" t="str">
        <f t="shared" ca="1" si="1"/>
        <v>1 TAHUN 10 BULAN</v>
      </c>
      <c r="R36" s="18">
        <v>23</v>
      </c>
    </row>
    <row r="37" spans="1:18" x14ac:dyDescent="0.25">
      <c r="A37" s="5">
        <v>100035</v>
      </c>
      <c r="B37" s="6" t="s">
        <v>174</v>
      </c>
      <c r="C37" s="8" t="s">
        <v>175</v>
      </c>
      <c r="D37" s="6" t="s">
        <v>39</v>
      </c>
      <c r="E37" s="9" t="s">
        <v>176</v>
      </c>
      <c r="F37" s="10" t="s">
        <v>41</v>
      </c>
      <c r="G37" s="11">
        <v>33297</v>
      </c>
      <c r="H37" s="12">
        <f ca="1">DATEDIF(Table1[[#This Row],[TTL]],TODAY(),"Y")</f>
        <v>35</v>
      </c>
      <c r="I37" s="6" t="s">
        <v>35</v>
      </c>
      <c r="J37" s="6" t="s">
        <v>177</v>
      </c>
      <c r="K37" s="12" t="s">
        <v>30</v>
      </c>
      <c r="L37" s="13" t="s">
        <v>170</v>
      </c>
      <c r="M37" s="14">
        <v>2009</v>
      </c>
      <c r="N37" s="6" t="s">
        <v>88</v>
      </c>
      <c r="O37" s="15">
        <v>45642</v>
      </c>
      <c r="P37" s="16">
        <f t="shared" ca="1" si="0"/>
        <v>19</v>
      </c>
      <c r="Q37" s="17" t="str">
        <f t="shared" ca="1" si="1"/>
        <v>1 TAHUN 7 BULAN</v>
      </c>
      <c r="R37" s="18">
        <v>16</v>
      </c>
    </row>
    <row r="38" spans="1:18" x14ac:dyDescent="0.25">
      <c r="A38" s="5">
        <v>100036</v>
      </c>
      <c r="B38" s="6" t="s">
        <v>178</v>
      </c>
      <c r="C38" s="8" t="s">
        <v>179</v>
      </c>
      <c r="D38" s="6" t="s">
        <v>19</v>
      </c>
      <c r="E38" s="9" t="s">
        <v>180</v>
      </c>
      <c r="F38" s="10" t="s">
        <v>21</v>
      </c>
      <c r="G38" s="11">
        <v>37514</v>
      </c>
      <c r="H38" s="12">
        <f ca="1">DATEDIF(Table1[[#This Row],[TTL]],TODAY(),"Y")</f>
        <v>23</v>
      </c>
      <c r="I38" s="6" t="s">
        <v>22</v>
      </c>
      <c r="J38" s="6" t="s">
        <v>181</v>
      </c>
      <c r="K38" s="12" t="s">
        <v>30</v>
      </c>
      <c r="L38" s="13"/>
      <c r="M38" s="14">
        <v>2021</v>
      </c>
      <c r="N38" s="6" t="s">
        <v>25</v>
      </c>
      <c r="O38" s="15">
        <v>45988</v>
      </c>
      <c r="P38" s="16">
        <f t="shared" ca="1" si="0"/>
        <v>8</v>
      </c>
      <c r="Q38" s="17" t="str">
        <f t="shared" ca="1" si="1"/>
        <v>8 BULAN</v>
      </c>
      <c r="R38" s="18">
        <v>27</v>
      </c>
    </row>
    <row r="39" spans="1:18" x14ac:dyDescent="0.25">
      <c r="A39" s="5">
        <v>100037</v>
      </c>
      <c r="B39" s="6" t="s">
        <v>182</v>
      </c>
      <c r="C39" s="8" t="s">
        <v>183</v>
      </c>
      <c r="D39" s="6" t="s">
        <v>19</v>
      </c>
      <c r="E39" s="9" t="s">
        <v>184</v>
      </c>
      <c r="F39" s="10" t="s">
        <v>51</v>
      </c>
      <c r="G39" s="11">
        <v>38320</v>
      </c>
      <c r="H39" s="12">
        <f ca="1">DATEDIF(Table1[[#This Row],[TTL]],TODAY(),"Y")</f>
        <v>21</v>
      </c>
      <c r="I39" s="6" t="s">
        <v>22</v>
      </c>
      <c r="J39" s="6" t="s">
        <v>185</v>
      </c>
      <c r="K39" s="12" t="s">
        <v>30</v>
      </c>
      <c r="L39" s="13" t="s">
        <v>73</v>
      </c>
      <c r="M39" s="14">
        <v>2022</v>
      </c>
      <c r="N39" s="6" t="s">
        <v>25</v>
      </c>
      <c r="O39" s="15">
        <v>44775</v>
      </c>
      <c r="P39" s="16">
        <f t="shared" ca="1" si="0"/>
        <v>48</v>
      </c>
      <c r="Q39" s="17" t="str">
        <f t="shared" ca="1" si="1"/>
        <v>4 TAHUN 0 BULAN</v>
      </c>
      <c r="R39" s="18">
        <v>2</v>
      </c>
    </row>
    <row r="40" spans="1:18" x14ac:dyDescent="0.25">
      <c r="A40" s="5">
        <v>100038</v>
      </c>
      <c r="B40" s="6" t="s">
        <v>186</v>
      </c>
      <c r="C40" s="7"/>
      <c r="D40" s="6" t="s">
        <v>19</v>
      </c>
      <c r="E40" s="9" t="s">
        <v>187</v>
      </c>
      <c r="F40" s="10" t="s">
        <v>21</v>
      </c>
      <c r="G40" s="11">
        <v>38090</v>
      </c>
      <c r="H40" s="12">
        <f ca="1">DATEDIF(Table1[[#This Row],[TTL]],TODAY(),"Y")</f>
        <v>22</v>
      </c>
      <c r="I40" s="6" t="s">
        <v>35</v>
      </c>
      <c r="J40" s="6" t="s">
        <v>144</v>
      </c>
      <c r="K40" s="12" t="s">
        <v>37</v>
      </c>
      <c r="L40" s="13" t="s">
        <v>92</v>
      </c>
      <c r="M40" s="14">
        <v>2022</v>
      </c>
      <c r="N40" s="6" t="s">
        <v>25</v>
      </c>
      <c r="O40" s="15">
        <v>45610</v>
      </c>
      <c r="P40" s="16">
        <f t="shared" ca="1" si="0"/>
        <v>20</v>
      </c>
      <c r="Q40" s="17" t="str">
        <f t="shared" ca="1" si="1"/>
        <v>1 TAHUN 8 BULAN</v>
      </c>
      <c r="R40" s="18">
        <v>14</v>
      </c>
    </row>
    <row r="41" spans="1:18" x14ac:dyDescent="0.25">
      <c r="A41" s="5">
        <v>100039</v>
      </c>
      <c r="B41" s="6" t="s">
        <v>188</v>
      </c>
      <c r="C41" s="7"/>
      <c r="D41" s="6" t="s">
        <v>19</v>
      </c>
      <c r="E41" s="9" t="s">
        <v>189</v>
      </c>
      <c r="F41" s="10" t="s">
        <v>59</v>
      </c>
      <c r="G41" s="11">
        <v>34181</v>
      </c>
      <c r="H41" s="12">
        <f ca="1">DATEDIF(Table1[[#This Row],[TTL]],TODAY(),"Y")</f>
        <v>33</v>
      </c>
      <c r="I41" s="6" t="s">
        <v>35</v>
      </c>
      <c r="J41" s="6" t="s">
        <v>190</v>
      </c>
      <c r="K41" s="12" t="s">
        <v>166</v>
      </c>
      <c r="L41" s="13"/>
      <c r="M41" s="14">
        <v>2009</v>
      </c>
      <c r="N41" s="6" t="s">
        <v>25</v>
      </c>
      <c r="O41" s="15">
        <v>45163</v>
      </c>
      <c r="P41" s="16">
        <f t="shared" ca="1" si="0"/>
        <v>35</v>
      </c>
      <c r="Q41" s="17" t="str">
        <f t="shared" ca="1" si="1"/>
        <v>2 TAHUN 11 BULAN</v>
      </c>
      <c r="R41" s="18">
        <v>25</v>
      </c>
    </row>
    <row r="42" spans="1:18" x14ac:dyDescent="0.25">
      <c r="A42" s="5">
        <v>100040</v>
      </c>
      <c r="B42" s="6" t="s">
        <v>191</v>
      </c>
      <c r="C42" s="8" t="s">
        <v>192</v>
      </c>
      <c r="D42" s="6" t="s">
        <v>39</v>
      </c>
      <c r="E42" s="9" t="s">
        <v>193</v>
      </c>
      <c r="F42" s="10" t="s">
        <v>194</v>
      </c>
      <c r="G42" s="11">
        <v>37860</v>
      </c>
      <c r="H42" s="12">
        <f ca="1">DATEDIF(Table1[[#This Row],[TTL]],TODAY(),"Y")</f>
        <v>22</v>
      </c>
      <c r="I42" s="6" t="s">
        <v>22</v>
      </c>
      <c r="J42" s="6" t="s">
        <v>195</v>
      </c>
      <c r="K42" s="12" t="s">
        <v>30</v>
      </c>
      <c r="L42" s="13" t="s">
        <v>43</v>
      </c>
      <c r="M42" s="14">
        <v>2021</v>
      </c>
      <c r="N42" s="6" t="s">
        <v>25</v>
      </c>
      <c r="O42" s="15">
        <v>46049</v>
      </c>
      <c r="P42" s="16">
        <f t="shared" ca="1" si="0"/>
        <v>6</v>
      </c>
      <c r="Q42" s="17" t="str">
        <f t="shared" ca="1" si="1"/>
        <v>6 BULAN</v>
      </c>
      <c r="R42" s="18">
        <v>27</v>
      </c>
    </row>
    <row r="43" spans="1:18" x14ac:dyDescent="0.25">
      <c r="A43" s="5">
        <v>100041</v>
      </c>
      <c r="B43" s="6" t="s">
        <v>196</v>
      </c>
      <c r="C43" s="7"/>
      <c r="D43" s="6" t="s">
        <v>19</v>
      </c>
      <c r="E43" s="9" t="s">
        <v>197</v>
      </c>
      <c r="F43" s="10" t="s">
        <v>21</v>
      </c>
      <c r="G43" s="11">
        <v>36000</v>
      </c>
      <c r="H43" s="12">
        <f ca="1">DATEDIF(Table1[[#This Row],[TTL]],TODAY(),"Y")</f>
        <v>28</v>
      </c>
      <c r="I43" s="6" t="s">
        <v>35</v>
      </c>
      <c r="J43" s="6" t="s">
        <v>198</v>
      </c>
      <c r="K43" s="12"/>
      <c r="L43" s="13"/>
      <c r="M43" s="14"/>
      <c r="N43" s="6" t="s">
        <v>25</v>
      </c>
      <c r="O43" s="15">
        <v>45956</v>
      </c>
      <c r="P43" s="16">
        <f t="shared" ca="1" si="0"/>
        <v>9</v>
      </c>
      <c r="Q43" s="17" t="str">
        <f t="shared" ca="1" si="1"/>
        <v>9 BULAN</v>
      </c>
      <c r="R43" s="18">
        <v>26</v>
      </c>
    </row>
    <row r="44" spans="1:18" x14ac:dyDescent="0.25">
      <c r="A44" s="5">
        <v>100042</v>
      </c>
      <c r="B44" s="6" t="s">
        <v>199</v>
      </c>
      <c r="C44" s="7"/>
      <c r="D44" s="6" t="s">
        <v>19</v>
      </c>
      <c r="E44" s="9" t="s">
        <v>200</v>
      </c>
      <c r="F44" s="10" t="s">
        <v>21</v>
      </c>
      <c r="G44" s="11">
        <v>34059</v>
      </c>
      <c r="H44" s="12">
        <f ca="1">DATEDIF(Table1[[#This Row],[TTL]],TODAY(),"Y")</f>
        <v>33</v>
      </c>
      <c r="I44" s="6" t="s">
        <v>22</v>
      </c>
      <c r="J44" s="6" t="s">
        <v>201</v>
      </c>
      <c r="K44" s="12" t="s">
        <v>127</v>
      </c>
      <c r="L44" s="13" t="s">
        <v>202</v>
      </c>
      <c r="M44" s="14">
        <v>2016</v>
      </c>
      <c r="N44" s="6" t="s">
        <v>25</v>
      </c>
      <c r="O44" s="15">
        <v>45165</v>
      </c>
      <c r="P44" s="16">
        <f t="shared" ca="1" si="0"/>
        <v>35</v>
      </c>
      <c r="Q44" s="17" t="str">
        <f t="shared" ca="1" si="1"/>
        <v>2 TAHUN 11 BULAN</v>
      </c>
      <c r="R44" s="18">
        <v>27</v>
      </c>
    </row>
    <row r="45" spans="1:18" x14ac:dyDescent="0.25">
      <c r="A45" s="5">
        <v>100043</v>
      </c>
      <c r="B45" s="6" t="s">
        <v>203</v>
      </c>
      <c r="C45" s="7"/>
      <c r="D45" s="6" t="s">
        <v>19</v>
      </c>
      <c r="E45" s="9" t="s">
        <v>204</v>
      </c>
      <c r="F45" s="6" t="s">
        <v>205</v>
      </c>
      <c r="G45" s="11">
        <v>35467</v>
      </c>
      <c r="H45" s="12">
        <f ca="1">DATEDIF(Table1[[#This Row],[TTL]],TODAY(),"Y")</f>
        <v>29</v>
      </c>
      <c r="I45" s="6" t="s">
        <v>22</v>
      </c>
      <c r="J45" s="6" t="s">
        <v>206</v>
      </c>
      <c r="K45" s="12"/>
      <c r="L45" s="13"/>
      <c r="M45" s="19"/>
      <c r="N45" s="6" t="s">
        <v>25</v>
      </c>
      <c r="O45" s="15">
        <v>45437</v>
      </c>
      <c r="P45" s="16">
        <f t="shared" ca="1" si="0"/>
        <v>26</v>
      </c>
      <c r="Q45" s="17" t="str">
        <f t="shared" ca="1" si="1"/>
        <v>2 TAHUN 2 BULAN</v>
      </c>
      <c r="R45" s="18">
        <v>25</v>
      </c>
    </row>
    <row r="46" spans="1:18" x14ac:dyDescent="0.25">
      <c r="A46" s="5">
        <v>100044</v>
      </c>
      <c r="B46" s="6" t="s">
        <v>207</v>
      </c>
      <c r="C46" s="7"/>
      <c r="D46" s="6" t="s">
        <v>39</v>
      </c>
      <c r="E46" s="20"/>
      <c r="F46" s="6" t="s">
        <v>208</v>
      </c>
      <c r="G46" s="11">
        <v>36604</v>
      </c>
      <c r="H46" s="12">
        <f ca="1">DATEDIF(Table1[[#This Row],[TTL]],TODAY(),"Y")</f>
        <v>26</v>
      </c>
      <c r="I46" s="6" t="s">
        <v>22</v>
      </c>
      <c r="J46" s="6" t="s">
        <v>209</v>
      </c>
      <c r="K46" s="12" t="s">
        <v>210</v>
      </c>
      <c r="L46" s="13" t="s">
        <v>211</v>
      </c>
      <c r="M46" s="19"/>
      <c r="N46" s="6"/>
      <c r="O46" s="15">
        <v>46113</v>
      </c>
      <c r="P46" s="16">
        <f t="shared" ca="1" si="0"/>
        <v>4</v>
      </c>
      <c r="Q46" s="17" t="str">
        <f t="shared" ca="1" si="1"/>
        <v>4 BULAN</v>
      </c>
      <c r="R46" s="18">
        <v>1</v>
      </c>
    </row>
    <row r="47" spans="1:18" x14ac:dyDescent="0.25">
      <c r="A47" s="5">
        <v>100045</v>
      </c>
      <c r="B47" s="21" t="s">
        <v>212</v>
      </c>
      <c r="C47" s="22" t="s">
        <v>213</v>
      </c>
      <c r="D47" s="21" t="s">
        <v>39</v>
      </c>
      <c r="E47" s="23" t="s">
        <v>214</v>
      </c>
      <c r="F47" s="21" t="s">
        <v>21</v>
      </c>
      <c r="G47" s="24">
        <v>38763</v>
      </c>
      <c r="H47" s="12">
        <f ca="1">DATEDIF(Table1[[#This Row],[TTL]],TODAY(),"Y")</f>
        <v>20</v>
      </c>
      <c r="I47" s="21" t="s">
        <v>35</v>
      </c>
      <c r="J47" s="21" t="s">
        <v>215</v>
      </c>
      <c r="K47" s="25" t="s">
        <v>30</v>
      </c>
      <c r="L47" s="26" t="s">
        <v>107</v>
      </c>
      <c r="M47" s="27">
        <v>2024</v>
      </c>
      <c r="N47" s="6" t="s">
        <v>25</v>
      </c>
      <c r="O47" s="15"/>
      <c r="P47" s="16"/>
      <c r="Q47" s="17"/>
      <c r="R47" s="18"/>
    </row>
    <row r="48" spans="1:18" x14ac:dyDescent="0.25">
      <c r="A48" s="5"/>
      <c r="B48" s="6"/>
      <c r="C48" s="7"/>
      <c r="D48" s="6"/>
      <c r="E48" s="20"/>
      <c r="F48" s="6"/>
      <c r="G48" s="11" t="s">
        <v>216</v>
      </c>
      <c r="H48" s="12" t="e">
        <f ca="1">DATEDIF(Table1[[#This Row],[TTL]],TODAY(),"Y")</f>
        <v>#VALUE!</v>
      </c>
      <c r="I48" s="6"/>
      <c r="J48" s="6"/>
      <c r="K48" s="12"/>
      <c r="L48" s="13"/>
      <c r="M48" s="27"/>
      <c r="N48" s="6"/>
      <c r="O48" s="15"/>
      <c r="P48" s="16"/>
      <c r="Q48" s="17"/>
      <c r="R48" s="18"/>
    </row>
    <row r="49" spans="1:18" x14ac:dyDescent="0.25">
      <c r="A49" s="5"/>
      <c r="B49" s="6"/>
      <c r="C49" s="7"/>
      <c r="D49" s="6"/>
      <c r="E49" s="20"/>
      <c r="F49" s="6"/>
      <c r="G49" s="11" t="s">
        <v>216</v>
      </c>
      <c r="H49" s="12" t="e">
        <f ca="1">DATEDIF(Table1[[#This Row],[TTL]],TODAY(),"Y")</f>
        <v>#VALUE!</v>
      </c>
      <c r="I49" s="6"/>
      <c r="J49" s="6"/>
      <c r="K49" s="12"/>
      <c r="L49" s="13"/>
      <c r="M49" s="27"/>
      <c r="N49" s="6"/>
      <c r="O49" s="15"/>
      <c r="P49" s="16"/>
      <c r="Q49" s="17"/>
      <c r="R49" s="18"/>
    </row>
    <row r="50" spans="1:18" x14ac:dyDescent="0.25">
      <c r="A50" s="5"/>
      <c r="B50" s="6"/>
      <c r="C50" s="7"/>
      <c r="D50" s="6"/>
      <c r="E50" s="20"/>
      <c r="F50" s="6"/>
      <c r="G50" s="11" t="s">
        <v>216</v>
      </c>
      <c r="H50" s="12" t="e">
        <f ca="1">DATEDIF(Table1[[#This Row],[TTL]],TODAY(),"Y")</f>
        <v>#VALUE!</v>
      </c>
      <c r="I50" s="6"/>
      <c r="J50" s="6"/>
      <c r="K50" s="12"/>
      <c r="L50" s="13"/>
      <c r="M50" s="27"/>
      <c r="N50" s="6"/>
      <c r="O50" s="15"/>
      <c r="P50" s="16"/>
      <c r="Q50" s="17"/>
      <c r="R50" s="18"/>
    </row>
    <row r="51" spans="1:18" x14ac:dyDescent="0.25">
      <c r="A51" s="5"/>
      <c r="B51" s="6"/>
      <c r="C51" s="7"/>
      <c r="D51" s="6"/>
      <c r="E51" s="20"/>
      <c r="F51" s="6"/>
      <c r="G51" s="11" t="s">
        <v>216</v>
      </c>
      <c r="H51" s="12" t="e">
        <f ca="1">DATEDIF(Table1[[#This Row],[TTL]],TODAY(),"Y")</f>
        <v>#VALUE!</v>
      </c>
      <c r="I51" s="6"/>
      <c r="J51" s="6"/>
      <c r="K51" s="12"/>
      <c r="L51" s="13"/>
      <c r="M51" s="27"/>
      <c r="N51" s="6"/>
      <c r="O51" s="15"/>
      <c r="P51" s="16"/>
      <c r="Q51" s="17"/>
      <c r="R51" s="18"/>
    </row>
    <row r="52" spans="1:18" x14ac:dyDescent="0.25">
      <c r="A52" s="5"/>
      <c r="B52" s="6"/>
      <c r="C52" s="7"/>
      <c r="D52" s="6"/>
      <c r="E52" s="20"/>
      <c r="F52" s="6"/>
      <c r="G52" s="11" t="s">
        <v>216</v>
      </c>
      <c r="H52" s="12" t="e">
        <f ca="1">DATEDIF(Table1[[#This Row],[TTL]],TODAY(),"Y")</f>
        <v>#VALUE!</v>
      </c>
      <c r="I52" s="6"/>
      <c r="J52" s="6"/>
      <c r="K52" s="12"/>
      <c r="L52" s="13"/>
      <c r="M52" s="27"/>
      <c r="N52" s="6"/>
      <c r="O52" s="15"/>
      <c r="P52" s="16"/>
      <c r="Q52" s="17"/>
      <c r="R52" s="18"/>
    </row>
    <row r="53" spans="1:18" x14ac:dyDescent="0.25">
      <c r="A53" s="5"/>
      <c r="B53" s="6"/>
      <c r="C53" s="7"/>
      <c r="D53" s="6"/>
      <c r="E53" s="20"/>
      <c r="F53" s="6"/>
      <c r="G53" s="11" t="s">
        <v>216</v>
      </c>
      <c r="H53" s="12" t="e">
        <f ca="1">DATEDIF(Table1[[#This Row],[TTL]],TODAY(),"Y")</f>
        <v>#VALUE!</v>
      </c>
      <c r="I53" s="6"/>
      <c r="J53" s="6"/>
      <c r="K53" s="12"/>
      <c r="L53" s="13"/>
      <c r="M53" s="27"/>
      <c r="N53" s="6"/>
      <c r="O53" s="15"/>
      <c r="P53" s="16"/>
      <c r="Q53" s="17"/>
      <c r="R53" s="18"/>
    </row>
    <row r="54" spans="1:18" x14ac:dyDescent="0.25">
      <c r="A54" s="5"/>
      <c r="B54" s="6"/>
      <c r="C54" s="7"/>
      <c r="D54" s="6"/>
      <c r="E54" s="20"/>
      <c r="F54" s="6"/>
      <c r="G54" s="11" t="s">
        <v>216</v>
      </c>
      <c r="H54" s="12" t="e">
        <f ca="1">DATEDIF(Table1[[#This Row],[TTL]],TODAY(),"Y")</f>
        <v>#VALUE!</v>
      </c>
      <c r="I54" s="6"/>
      <c r="J54" s="6"/>
      <c r="K54" s="12"/>
      <c r="L54" s="13"/>
      <c r="M54" s="27"/>
      <c r="N54" s="6"/>
      <c r="O54" s="15"/>
      <c r="P54" s="16"/>
      <c r="Q54" s="17"/>
      <c r="R54" s="18"/>
    </row>
    <row r="55" spans="1:18" x14ac:dyDescent="0.25">
      <c r="A55" s="5"/>
      <c r="B55" s="6"/>
      <c r="C55" s="7"/>
      <c r="D55" s="6"/>
      <c r="E55" s="20"/>
      <c r="F55" s="6"/>
      <c r="G55" s="11" t="s">
        <v>216</v>
      </c>
      <c r="H55" s="12" t="e">
        <f ca="1">DATEDIF(Table1[[#This Row],[TTL]],TODAY(),"Y")</f>
        <v>#VALUE!</v>
      </c>
      <c r="I55" s="6"/>
      <c r="J55" s="6"/>
      <c r="K55" s="12"/>
      <c r="L55" s="13"/>
      <c r="M55" s="27"/>
      <c r="N55" s="6"/>
      <c r="O55" s="15"/>
      <c r="P55" s="16"/>
      <c r="Q55" s="17"/>
      <c r="R55" s="18"/>
    </row>
    <row r="56" spans="1:18" x14ac:dyDescent="0.25">
      <c r="A56" s="5"/>
      <c r="B56" s="6"/>
      <c r="C56" s="7"/>
      <c r="D56" s="6"/>
      <c r="E56" s="20"/>
      <c r="F56" s="6"/>
      <c r="G56" s="11" t="s">
        <v>216</v>
      </c>
      <c r="H56" s="12" t="e">
        <f ca="1">DATEDIF(Table1[[#This Row],[TTL]],TODAY(),"Y")</f>
        <v>#VALUE!</v>
      </c>
      <c r="I56" s="6"/>
      <c r="J56" s="6"/>
      <c r="K56" s="12"/>
      <c r="L56" s="13"/>
      <c r="M56" s="27"/>
      <c r="N56" s="6"/>
      <c r="O56" s="15"/>
      <c r="P56" s="16"/>
      <c r="Q56" s="17"/>
      <c r="R56" s="18"/>
    </row>
    <row r="57" spans="1:18" x14ac:dyDescent="0.25">
      <c r="A57" s="5"/>
      <c r="B57" s="6"/>
      <c r="C57" s="7"/>
      <c r="D57" s="6"/>
      <c r="E57" s="20"/>
      <c r="F57" s="6"/>
      <c r="G57" s="11" t="s">
        <v>216</v>
      </c>
      <c r="H57" s="12" t="e">
        <f ca="1">DATEDIF(Table1[[#This Row],[TTL]],TODAY(),"Y")</f>
        <v>#VALUE!</v>
      </c>
      <c r="I57" s="6"/>
      <c r="J57" s="6"/>
      <c r="K57" s="12"/>
      <c r="L57" s="13"/>
      <c r="M57" s="27"/>
      <c r="N57" s="6"/>
      <c r="O57" s="15"/>
      <c r="P57" s="16"/>
      <c r="Q57" s="17"/>
      <c r="R57" s="18"/>
    </row>
    <row r="58" spans="1:18" x14ac:dyDescent="0.25">
      <c r="A58" s="5"/>
      <c r="B58" s="6"/>
      <c r="C58" s="7"/>
      <c r="D58" s="6"/>
      <c r="E58" s="20"/>
      <c r="F58" s="6"/>
      <c r="G58" s="11" t="s">
        <v>216</v>
      </c>
      <c r="H58" s="12" t="e">
        <f ca="1">DATEDIF(Table1[[#This Row],[TTL]],TODAY(),"Y")</f>
        <v>#VALUE!</v>
      </c>
      <c r="I58" s="6"/>
      <c r="J58" s="6"/>
      <c r="K58" s="12"/>
      <c r="L58" s="13"/>
      <c r="M58" s="27"/>
      <c r="N58" s="6"/>
      <c r="O58" s="15"/>
      <c r="P58" s="16"/>
      <c r="Q58" s="17"/>
      <c r="R58" s="18"/>
    </row>
  </sheetData>
  <dataValidations count="3">
    <dataValidation type="list" allowBlank="1" showInputMessage="1" showErrorMessage="1" sqref="D3:D58" xr:uid="{BC00A343-FCB2-40A7-B152-4A2CD052BD6B}">
      <formula1>"STAFF, PRODUKSI"</formula1>
    </dataValidation>
    <dataValidation type="list" allowBlank="1" showInputMessage="1" showErrorMessage="1" sqref="K3:K58" xr:uid="{702D5492-1A15-4FD7-A64B-B758828D3A9E}">
      <formula1>"SD, MI, SMP, MTS, SMA, MA, SMK, D1, D2, D3, S1, S2"</formula1>
    </dataValidation>
    <dataValidation type="list" allowBlank="1" showInputMessage="1" showErrorMessage="1" sqref="I3:I58" xr:uid="{49047CD4-BCB9-4135-B06E-FC84EA39C7FC}">
      <formula1>"LAKI-LAKI, PEREMPUAN"</formula1>
    </dataValidation>
  </dataValidations>
  <hyperlinks>
    <hyperlink ref="C34" r:id="rId1" xr:uid="{34C744CC-D5E3-4107-BE81-CC261FEFB746}"/>
    <hyperlink ref="C7" r:id="rId2" xr:uid="{870F706F-7921-418A-A499-03DC2F757A86}"/>
    <hyperlink ref="C37" r:id="rId3" xr:uid="{FDFD92CB-12C1-46D0-9BEC-41AAF12B0660}"/>
    <hyperlink ref="C20" r:id="rId4" xr:uid="{55FEF3D1-F8CA-468C-AD1A-3750D961825C}"/>
    <hyperlink ref="C23" r:id="rId5" xr:uid="{51B915A5-569F-45DB-A710-78C931A6D01E}"/>
    <hyperlink ref="C26" r:id="rId6" xr:uid="{7E17AC29-ED19-4EF6-A250-BD3E2408BCF0}"/>
    <hyperlink ref="C24" r:id="rId7" xr:uid="{B40CD28F-0F59-4770-BD54-4315A00AB9F7}"/>
    <hyperlink ref="C39" r:id="rId8" xr:uid="{18135EF3-8DDE-4ADC-990A-AA0ECDA9F35B}"/>
    <hyperlink ref="C14" r:id="rId9" xr:uid="{D12FB047-75B1-4A4C-9D1B-B9B93CB58B9A}"/>
    <hyperlink ref="C16" r:id="rId10" xr:uid="{6FA7B178-F42B-41B8-BEF5-27934799FFD9}"/>
    <hyperlink ref="C19" r:id="rId11" xr:uid="{24B64793-B61A-4103-B735-BA4E5B664A5F}"/>
    <hyperlink ref="C11" r:id="rId12" xr:uid="{E5951DD7-E354-41EC-BC39-529766DB0C6E}"/>
    <hyperlink ref="C15" r:id="rId13" xr:uid="{775683AD-0D7D-4BC8-BBDC-E82AAA0747A8}"/>
    <hyperlink ref="C38" r:id="rId14" xr:uid="{D968B80C-8816-4AF6-B376-DD77F8622149}"/>
    <hyperlink ref="C42" r:id="rId15" xr:uid="{379E5E2C-EBAA-4016-A4D9-4573B03B4795}"/>
    <hyperlink ref="C3" r:id="rId16" xr:uid="{CDC687B9-BB11-41CA-A7E8-0226803B4659}"/>
    <hyperlink ref="C22" r:id="rId17" xr:uid="{A45BE93A-D206-47C1-8135-EE2A9264EE1D}"/>
    <hyperlink ref="C4" r:id="rId18" xr:uid="{C49B79E1-29B0-4113-ACE5-D0695E877127}"/>
    <hyperlink ref="C5" r:id="rId19" xr:uid="{599E5461-E0E5-49D3-A6F9-01DA3BBDD20C}"/>
    <hyperlink ref="C47" r:id="rId20" xr:uid="{C9C2FF34-85B9-4888-8FC9-FDB7A2A36F76}"/>
  </hyperlinks>
  <pageMargins left="0.7" right="0.7" top="0.75" bottom="0.75" header="0.3" footer="0.3"/>
  <tableParts count="1"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 pramana</dc:creator>
  <cp:lastModifiedBy>ricky pramana</cp:lastModifiedBy>
  <dcterms:created xsi:type="dcterms:W3CDTF">2026-08-04T06:05:53Z</dcterms:created>
  <dcterms:modified xsi:type="dcterms:W3CDTF">2026-08-04T06:10:35Z</dcterms:modified>
</cp:coreProperties>
</file>